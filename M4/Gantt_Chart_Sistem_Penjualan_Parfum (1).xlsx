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5"/>
    <sheet state="visible" name="Rekap Bobot" sheetId="2" r:id="rId6"/>
    <sheet state="visible" name="Catatan" sheetId="3" r:id="rId7"/>
  </sheets>
  <definedNames/>
  <calcPr/>
</workbook>
</file>

<file path=xl/sharedStrings.xml><?xml version="1.0" encoding="utf-8"?>
<sst xmlns="http://schemas.openxmlformats.org/spreadsheetml/2006/main" count="477" uniqueCount="242">
  <si>
    <t>CATATAN DAN ASUMSI</t>
  </si>
  <si>
    <t>REKAP KOMPONEN PENILAIAN (sesuai PDF, slide Komponen Penilaian)</t>
  </si>
  <si>
    <t>GANTT CHART PROYEK PPSI: SISTEM PENJUALAN BERBASIS WEBSITE UNTUK USAHA PARFUM PRIBADI</t>
  </si>
  <si>
    <t>Cara pakai</t>
  </si>
  <si>
    <t>Mg</t>
  </si>
  <si>
    <t>1. Ubah tanggal Senin Minggu 1 di sel C3 (kuning) pada sheet Gantt Chart. Semua tanggal ikut berubah otomatis. Tanggal 5 Oktober 2026 hanya asumsi.</t>
  </si>
  <si>
    <t>2. Kolom Mulai dan Selesai (angka biru) bisa diubah untuk menggeser bar. Kolom Progres dan Status diisi setiap sprint karena PDF meminta realisasi diperbarui di Gantt Chart.</t>
  </si>
  <si>
    <t>3. Warna bar: biru tua = fase, biru muda = rencana task, hijau = bagian yang sudah selesai sesuai Progres, oranye = UTS dan UAS, kuning = minggu berjalan.</t>
  </si>
  <si>
    <t>Asumsi yang perlu kamu cek</t>
  </si>
  <si>
    <t>Komponen penilaian</t>
  </si>
  <si>
    <t>Sifat</t>
  </si>
  <si>
    <t>1. Kolom Sumber jadwal bertanda PDF berarti minggunya disebut langsung di dokumen. Bertanda Asumsi berarti pembagian sub-task di dalam rentang fase disusun sendiri dan boleh disesuaikan dengan dosen dan tim.</t>
  </si>
  <si>
    <t>CPMK</t>
  </si>
  <si>
    <t>2. Kolom PIC dipetakan dari deskripsi 6 peran di PDF (Project Manager, System Analyst, System Designer, Programmer, Tester, Technical Writer). Ganti dengan nama anggota kelompokmu.</t>
  </si>
  <si>
    <t>Sub-CPMK</t>
  </si>
  <si>
    <t>3. PDF menulis Fase 5 sebagai Minggu 9, 10, 12 di slide detail dan Mg 9-12 di peta perjalanan. Bar Fase 5 memakai Minggu 9 sampai 12, dengan Minggu 11 (UTS) untuk melanjutkan pemrograman.</t>
  </si>
  <si>
    <t>Bobot</t>
  </si>
  <si>
    <t>4. Bobot Requirement Document 10% dipecah 5% (CPMK 05.2) dan 5% (CPMK 03.3) di sheet Rekap Bobot sesuai kolom Sub-CPMK di PDF.</t>
  </si>
  <si>
    <t>5. Peer assessment dijadwalkan saat vclass minggu 6, 8, dan 13 (3 kali). Tidak ada bobot nilai sendiri karena dipakai sebagai faktor kontribusi 0,5 sampai 1,1.</t>
  </si>
  <si>
    <t>Aturan main dari PDF</t>
  </si>
  <si>
    <t>1. Beban kerja sekitar 8 jam per minggu (4 SKS = 180 jam).</t>
  </si>
  <si>
    <t>Requirement Document + persetujuan klien (bagian CPMK 05.2)</t>
  </si>
  <si>
    <t>2. Pakai template: 6 dokumen Word dan 3 Excel. Times New Roman 12, spasi 1,5, margin 3 cm.</t>
  </si>
  <si>
    <t>3. Status dicatat dengan ✓, Terlambat, Revisi, atau Belum.</t>
  </si>
  <si>
    <t>Fase</t>
  </si>
  <si>
    <t>4. Sebutkan sumber dan penggunaan AI, serta rahasiakan data klien.</t>
  </si>
  <si>
    <t>Kelompok</t>
  </si>
  <si>
    <t>Penyesuaian untuk proyek Sistem Penjualan Website Usaha Parfum Pribadi</t>
  </si>
  <si>
    <t>05.2</t>
  </si>
  <si>
    <t>1. Jadwal minggu, bobot nilai, kuis, peer assessment, dan milestone UTS/UAS tidak diubah karena mengikuti pedoman mata kuliah. Yang disesuaikan hanya nama dan isi tugas.</t>
  </si>
  <si>
    <t>2. Isi sprint (Sprint 1 sampai 3) dan fitur seperti pembayaran serta ongkir adalah susunan awal. Sesuaikan dengan kebutuhan pemilik usaha, misalnya cukup transfer manual jika tidak memerlukan payment gateway.</t>
  </si>
  <si>
    <t>05.2.1</t>
  </si>
  <si>
    <t>3. Klien dalam proyek ini adalah pemilik usaha parfum pribadi. Ganti kolom PIC dengan nama anggota kelompokmu.</t>
  </si>
  <si>
    <t>Rencana task</t>
  </si>
  <si>
    <t>Requirement Document + persetujuan klien (bagian CPMK 03.3)</t>
  </si>
  <si>
    <t>03.3</t>
  </si>
  <si>
    <t>Progres selesai</t>
  </si>
  <si>
    <t>03.3.2</t>
  </si>
  <si>
    <t>Perencanaan: kelayakan, WBS, Gantt Chart</t>
  </si>
  <si>
    <t>03.3.1</t>
  </si>
  <si>
    <t>SRS (Software Requirement Specification)</t>
  </si>
  <si>
    <t>Milestone</t>
  </si>
  <si>
    <t>03.3.3</t>
  </si>
  <si>
    <t>Kuis 1: analisis kebutuhan (vclass)</t>
  </si>
  <si>
    <t>Individu</t>
  </si>
  <si>
    <t>Minggu berjalan</t>
  </si>
  <si>
    <t>SDD (Software Design Description)</t>
  </si>
  <si>
    <t>UTS</t>
  </si>
  <si>
    <t>Kuis 2: desain sistem (vclass)</t>
  </si>
  <si>
    <t>UAS</t>
  </si>
  <si>
    <t>Pemrograman + dokumen implementasi</t>
  </si>
  <si>
    <t>No</t>
  </si>
  <si>
    <t>03.1</t>
  </si>
  <si>
    <t>03.1.3</t>
  </si>
  <si>
    <t>Skenario pengujian dan rencana UAT</t>
  </si>
  <si>
    <t>Kuis 3: pengujian sistem (vclass)</t>
  </si>
  <si>
    <t>Fase / Task</t>
  </si>
  <si>
    <t>Penerapan pada klien, user manual</t>
  </si>
  <si>
    <t>12.1</t>
  </si>
  <si>
    <t>12.1.1</t>
  </si>
  <si>
    <t>PIC (peran)</t>
  </si>
  <si>
    <t>Laporan akhir dan presentasi</t>
  </si>
  <si>
    <t>Mulai (Mg)</t>
  </si>
  <si>
    <t>Selesai (Mg)</t>
  </si>
  <si>
    <t>Total</t>
  </si>
  <si>
    <t>Durasi (Mg)</t>
  </si>
  <si>
    <t>Tanggal mulai</t>
  </si>
  <si>
    <t>Tanggal selesai</t>
  </si>
  <si>
    <t>Bobot nilai</t>
  </si>
  <si>
    <t>Progres</t>
  </si>
  <si>
    <t>Status</t>
  </si>
  <si>
    <t>Keterangan / output</t>
  </si>
  <si>
    <t>Sumber jadwal</t>
  </si>
  <si>
    <t>Target RPS</t>
  </si>
  <si>
    <t>Tipe baris</t>
  </si>
  <si>
    <t>Dihitung dari tabel</t>
  </si>
  <si>
    <t>Selisih</t>
  </si>
  <si>
    <t>CPMK 03.3</t>
  </si>
  <si>
    <t>CPMK 03.1</t>
  </si>
  <si>
    <t>CPMK 12.1</t>
  </si>
  <si>
    <t>CPMK 05.2</t>
  </si>
  <si>
    <t>FASE 1 · DEFINISI PROYEK</t>
  </si>
  <si>
    <t>Cek: total bobot di Gantt Chart sama dengan tabel di atas?</t>
  </si>
  <si>
    <t>Minggu 1-2 · CPMK 05.2, 03.3</t>
  </si>
  <si>
    <t>1.1</t>
  </si>
  <si>
    <t>Membentuk tim dan membagi peran</t>
  </si>
  <si>
    <t>Project Manager</t>
  </si>
  <si>
    <t>Selesai</t>
  </si>
  <si>
    <t>Tim 5 sampai 7 orang, dibentuk oleh dosen</t>
  </si>
  <si>
    <t>PDF</t>
  </si>
  <si>
    <t>Task</t>
  </si>
  <si>
    <t>1.2</t>
  </si>
  <si>
    <t>Menetapkan Project Manager dan ketua peran</t>
  </si>
  <si>
    <t>✓</t>
  </si>
  <si>
    <t>1.3</t>
  </si>
  <si>
    <t>Mewawancarai pemilik usaha parfum dan memahami masalah penjualannya</t>
  </si>
  <si>
    <t>Project Manager, System Analyst</t>
  </si>
  <si>
    <t>1.4</t>
  </si>
  <si>
    <t>Mendiskusikan klien (usaha parfum) dan topik dengan dosen</t>
  </si>
  <si>
    <t>1.5</t>
  </si>
  <si>
    <t>Mengunduh paket template dan membaca petunjuk pengisian</t>
  </si>
  <si>
    <t>Semua anggota</t>
  </si>
  <si>
    <t>1.6</t>
  </si>
  <si>
    <t>Menyusun profil usaha parfum (slide singkat)</t>
  </si>
  <si>
    <t>Technical Writer</t>
  </si>
  <si>
    <t>Output Minggu 1: tim kerja + profil usaha parfum</t>
  </si>
  <si>
    <t>1.7</t>
  </si>
  <si>
    <t>Membandingkan alternatif solusi (website sendiri, marketplace, atau jualan via WhatsApp/media sosial)</t>
  </si>
  <si>
    <t>System Analyst</t>
  </si>
  <si>
    <t>Pilih solusi terbaik untuk usaha parfum beserta alasannya</t>
  </si>
  <si>
    <t>Asumsi</t>
  </si>
  <si>
    <t>1.8</t>
  </si>
  <si>
    <t>Memilih metodologi (Waterfall, Agile, Scrum) dan mengenali risiko</t>
  </si>
  <si>
    <t>1.9</t>
  </si>
  <si>
    <t>Menyusun Requirement Document (3 sampai 5 halaman)</t>
  </si>
  <si>
    <t>System Analyst, Technical Writer</t>
  </si>
  <si>
    <t>1.10</t>
  </si>
  <si>
    <t>Melampirkan lembar persetujuan klien bertanda tangan</t>
  </si>
  <si>
    <t>1.11</t>
  </si>
  <si>
    <t>Menyiapkan presentasi 3 sampai 5 slide</t>
  </si>
  <si>
    <t>1.12</t>
  </si>
  <si>
    <t>Hasil: Requirement Document + persetujuan klien</t>
  </si>
  <si>
    <t>Dokumen 01 Bagian I, Kelompok</t>
  </si>
  <si>
    <t>FASE 2 · PERENCANAAN PROYEK</t>
  </si>
  <si>
    <t>Minggu 3-4 · CPMK 03.3</t>
  </si>
  <si>
    <t>2.1</t>
  </si>
  <si>
    <t>Menggambarkan proses jual-beli parfum saat ini dan gambaran sistem website</t>
  </si>
  <si>
    <t>2.2</t>
  </si>
  <si>
    <t>Menilai kelayakan: teknis (domain, hosting), ekonomi (biaya vs omzet), operasional (kesiapan pemilik)</t>
  </si>
  <si>
    <t>System Analyst, Project Manager</t>
  </si>
  <si>
    <t>2.3</t>
  </si>
  <si>
    <t>Memecah pekerjaan dengan WBS</t>
  </si>
  <si>
    <t>2.4</t>
  </si>
  <si>
    <t>Menyusun jadwal dengan Gantt Chart</t>
  </si>
  <si>
    <t>2.5</t>
  </si>
  <si>
    <t>Hasil: Dokumen 01 Bagian II + Gantt Chart (Excel)</t>
  </si>
  <si>
    <t>Project Manager, Technical Writer</t>
  </si>
  <si>
    <t>Perencanaan: kelayakan, WBS, Gantt Chart, Kelompok</t>
  </si>
  <si>
    <t>FASE 3 · ANALISIS KEBUTUHAN</t>
  </si>
  <si>
    <t>Minggu 5-6 · CPMK 03.3</t>
  </si>
  <si>
    <t>3.1</t>
  </si>
  <si>
    <t>Wawancara dan observasi alur pemesanan, stok, pembayaran, dan pengiriman bersama pemilik</t>
  </si>
  <si>
    <t>Belum</t>
  </si>
  <si>
    <t>3.2</t>
  </si>
  <si>
    <t>Menyusun kebutuhan fungsional (katalog, keranjang, checkout, konfirmasi pembayaran, kelola stok dan pesanan) dan non-fungsional (responsif di HP, aman)</t>
  </si>
  <si>
    <t>3.3</t>
  </si>
  <si>
    <t>Membuat use case / user story untuk pembeli dan admin (pemilik)</t>
  </si>
  <si>
    <t>3.4</t>
  </si>
  <si>
    <t>Menentukan prioritas kebutuhan (MoSCoW)</t>
  </si>
  <si>
    <t>Must, Should, Could, Won't</t>
  </si>
  <si>
    <t>3.5</t>
  </si>
  <si>
    <t>Hasil: Software Requirement Specification (SRS)</t>
  </si>
  <si>
    <t>3.6</t>
  </si>
  <si>
    <t>3.7</t>
  </si>
  <si>
    <t>Peer assessment ke-1 (vclass)</t>
  </si>
  <si>
    <t>Form Excel diunggah ke vclass, skala 1 sampai 5</t>
  </si>
  <si>
    <t>FASE 4 · DESAIN SISTEM</t>
  </si>
  <si>
    <t>Minggu 7-8 · CPMK 03.3</t>
  </si>
  <si>
    <t>4.1</t>
  </si>
  <si>
    <t>Merancang arsitektur sistem (web, basis data, hosting, integrasi pembayaran dan ongkir)</t>
  </si>
  <si>
    <t>System Designer</t>
  </si>
  <si>
    <t>4.2</t>
  </si>
  <si>
    <t>Merancang proses bisnis dan basis data (ERD: produk, varian ukuran, pelanggan, pesanan, pembayaran, stok)</t>
  </si>
  <si>
    <t>4.3</t>
  </si>
  <si>
    <t>Membuat wireframe / mockup (beranda, katalog, detail parfum, keranjang, checkout, dashboard admin)</t>
  </si>
  <si>
    <t>4.4</t>
  </si>
  <si>
    <t>Mulai menyiapkan lingkungan pemrograman</t>
  </si>
  <si>
    <t>Programmer</t>
  </si>
  <si>
    <t>4.5</t>
  </si>
  <si>
    <t>Hasil: Software Design Description (SDD)</t>
  </si>
  <si>
    <t>System Designer, Technical Writer</t>
  </si>
  <si>
    <t>4.6</t>
  </si>
  <si>
    <t>4.7</t>
  </si>
  <si>
    <t>Peer assessment ke-2 (vclass)</t>
  </si>
  <si>
    <t>FASE 5 · PEMROGRAMAN</t>
  </si>
  <si>
    <t>Minggu 9-12 · CPMK 03.1</t>
  </si>
  <si>
    <t>5.1</t>
  </si>
  <si>
    <t>Sprint 1: registrasi/login, katalog dan detail parfum + demo progres di kelas</t>
  </si>
  <si>
    <t>5.2</t>
  </si>
  <si>
    <t>Sprint 2: keranjang, checkout, konfirmasi pembayaran, kelola produk dan stok admin + demo progres</t>
  </si>
  <si>
    <t>5.3</t>
  </si>
  <si>
    <t>Deploy awal ke server uji</t>
  </si>
  <si>
    <t>5.4</t>
  </si>
  <si>
    <t>Melanjutkan pemrograman saat pekan UTS</t>
  </si>
  <si>
    <t>UTS Minggu 11 boleh dipakai melanjutkan pemrograman</t>
  </si>
  <si>
    <t>5.5</t>
  </si>
  <si>
    <t>Sprint 3: pesanan dan status pengiriman, laporan penjualan, semua fitur lengkap + demo progres</t>
  </si>
  <si>
    <t>5.6</t>
  </si>
  <si>
    <t>Memperbarui realisasi di Gantt Chart setiap sprint</t>
  </si>
  <si>
    <t>Isi kolom Progres dan Status</t>
  </si>
  <si>
    <t>5.7</t>
  </si>
  <si>
    <t>Hasil: Website + Dokumen Implementasi dan Kode Modul</t>
  </si>
  <si>
    <t>Programmer, Technical Writer</t>
  </si>
  <si>
    <t>Pemrograman + dokumen implementasi, Kelompok</t>
  </si>
  <si>
    <t>FASE 6 · PENGUJIAN SISTEM</t>
  </si>
  <si>
    <t>Minggu 13 · CPMK 03.3</t>
  </si>
  <si>
    <t>6.1</t>
  </si>
  <si>
    <t>Menyusun skenario pengujian modul dan integrasi (alur beli, stok berkurang, status pesanan)</t>
  </si>
  <si>
    <t>Tester</t>
  </si>
  <si>
    <t>6.2</t>
  </si>
  <si>
    <t>Menyusun skenario UAT bersama pemilik usaha</t>
  </si>
  <si>
    <t>Tester, Project Manager</t>
  </si>
  <si>
    <t>6.3</t>
  </si>
  <si>
    <t>Menjalankan pengujian dan mencatat bug (termasuk tampilan di HP)</t>
  </si>
  <si>
    <t>6.4</t>
  </si>
  <si>
    <t>Memperbaiki bug lalu menguji ulang</t>
  </si>
  <si>
    <t>Programmer, Tester</t>
  </si>
  <si>
    <t>Bug dicatat, diperbaiki, lalu diuji ulang</t>
  </si>
  <si>
    <t>6.5</t>
  </si>
  <si>
    <t>Hasil: Skenario pengujian dan rencana UAT (Excel)</t>
  </si>
  <si>
    <t>6.6</t>
  </si>
  <si>
    <t>6.7</t>
  </si>
  <si>
    <t>Peer assessment ke-3 (vclass)</t>
  </si>
  <si>
    <t>FASE 7 · PENERAPAN DAN PRESENTASI AKHIR</t>
  </si>
  <si>
    <t>Minggu 14-15 · CPMK 12.1</t>
  </si>
  <si>
    <t>7.1</t>
  </si>
  <si>
    <t>Menjalankan UAT bersama pemilik dan memperbaiki temuan</t>
  </si>
  <si>
    <t>Tester, Programmer</t>
  </si>
  <si>
    <t>7.2</t>
  </si>
  <si>
    <t>Deploy final (domain dan hosting) untuk usaha parfum</t>
  </si>
  <si>
    <t>7.3</t>
  </si>
  <si>
    <t>Melatih pemilik mengelola produk, stok, dan pesanan + membuat user manual</t>
  </si>
  <si>
    <t>Technical Writer, Project Manager</t>
  </si>
  <si>
    <t>Pelatihan paling lambat minggu 15</t>
  </si>
  <si>
    <t>7.4</t>
  </si>
  <si>
    <t>Serah terima (BAST)</t>
  </si>
  <si>
    <t>BAST paling lambat minggu 15</t>
  </si>
  <si>
    <t>7.5</t>
  </si>
  <si>
    <t>Hasil: Dokumen Penerapan + User Manual</t>
  </si>
  <si>
    <t>Penerapan pada pemilik usaha, user manual, Kelompok</t>
  </si>
  <si>
    <t>7.6</t>
  </si>
  <si>
    <t>Menyusun laporan akhir dan presentasi akhir</t>
  </si>
  <si>
    <t>7.7</t>
  </si>
  <si>
    <t>Hasil: Laporan akhir dan presentasi</t>
  </si>
  <si>
    <t>MILESTONE AKADEMIK</t>
  </si>
  <si>
    <t>Header</t>
  </si>
  <si>
    <t>M1</t>
  </si>
  <si>
    <t>UTS (Ujian Tengah Semester)</t>
  </si>
  <si>
    <t>Minggu 11</t>
  </si>
  <si>
    <t>M2</t>
  </si>
  <si>
    <t>UAS (Ujian Akhir Semester)</t>
  </si>
  <si>
    <t>Minggu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</si>
</sst>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m\-yyyy"/>
    <numFmt numFmtId="165" formatCode="\M0"/>
    <numFmt numFmtId="166" formatCode="dd/mm"/>
    <numFmt numFmtId="167" formatCode="0%;\-0%;\-"/>
  </numFmts>
  <fonts count="19">
    <font>
      <sz val="11.0"/>
      <color theme="1"/>
      <name val="Calibri"/>
      <scheme val="minor"/>
    </font>
    <font>
      <b/>
      <sz val="13.0"/>
      <color rgb="FF1F4E9C"/>
      <name val="Arial"/>
    </font>
    <font>
      <b/>
      <sz val="14.0"/>
      <color rgb="FF1F4E9C"/>
      <name val="Arial"/>
    </font>
    <font>
      <b/>
      <sz val="10.0"/>
      <color rgb="FF1F4E9C"/>
      <name val="Arial"/>
    </font>
    <font>
      <i/>
      <sz val="9.0"/>
      <color rgb="FF595959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sz val="10.0"/>
      <color rgb="FF0000FF"/>
      <name val="Arial"/>
    </font>
    <font>
      <i/>
      <sz val="8.0"/>
      <color rgb="FF595959"/>
      <name val="Arial"/>
    </font>
    <font>
      <b/>
      <sz val="8.0"/>
      <color rgb="FFED7D31"/>
      <name val="Arial"/>
    </font>
    <font>
      <b/>
      <sz val="8.0"/>
      <color rgb="FFFFFFFF"/>
      <name val="Arial"/>
    </font>
    <font/>
    <font>
      <sz val="8.0"/>
      <color theme="1"/>
      <name val="Arial"/>
    </font>
    <font>
      <sz val="8.0"/>
      <color rgb="FF80808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9C"/>
        <bgColor rgb="FF1F4E9C"/>
      </patternFill>
    </fill>
    <fill>
      <patternFill patternType="solid">
        <fgColor rgb="FFFFFF00"/>
        <bgColor rgb="FFFFFF00"/>
      </patternFill>
    </fill>
    <fill>
      <patternFill patternType="solid">
        <fgColor rgb="FF55A8D0"/>
        <bgColor rgb="FF55A8D0"/>
      </patternFill>
    </fill>
    <fill>
      <patternFill patternType="solid">
        <fgColor rgb="FF2E9E5B"/>
        <bgColor rgb="FF2E9E5B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rgb="FFDCE8F7"/>
        <bgColor rgb="FFDCE8F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1" fillId="3" fontId="8" numFmtId="164" xfId="0" applyAlignment="1" applyBorder="1" applyFill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2" fontId="10" numFmtId="0" xfId="0" applyBorder="1" applyFill="1" applyFont="1"/>
    <xf borderId="1" fillId="0" fontId="9" numFmtId="0" xfId="0" applyAlignment="1" applyBorder="1" applyFont="1">
      <alignment horizontal="left" vertical="center"/>
    </xf>
    <xf borderId="0" fillId="0" fontId="11" numFmtId="0" xfId="0" applyFont="1"/>
    <xf borderId="1" fillId="0" fontId="9" numFmtId="49" xfId="0" applyAlignment="1" applyBorder="1" applyFont="1" applyNumberFormat="1">
      <alignment horizontal="center" shrinkToFit="0" vertical="center" wrapText="1"/>
    </xf>
    <xf borderId="1" fillId="4" fontId="10" numFmtId="0" xfId="0" applyBorder="1" applyFill="1" applyFont="1"/>
    <xf borderId="1" fillId="0" fontId="12" numFmtId="9" xfId="0" applyAlignment="1" applyBorder="1" applyFont="1" applyNumberFormat="1">
      <alignment horizontal="center" shrinkToFit="0" vertical="center" wrapText="1"/>
    </xf>
    <xf borderId="1" fillId="5" fontId="10" numFmtId="0" xfId="0" applyBorder="1" applyFill="1" applyFont="1"/>
    <xf borderId="0" fillId="0" fontId="13" numFmtId="0" xfId="0" applyFont="1"/>
    <xf borderId="1" fillId="6" fontId="10" numFmtId="0" xfId="0" applyBorder="1" applyFill="1" applyFont="1"/>
    <xf borderId="1" fillId="7" fontId="10" numFmtId="0" xfId="0" applyBorder="1" applyFill="1" applyFont="1"/>
    <xf borderId="0" fillId="0" fontId="14" numFmtId="0" xfId="0" applyAlignment="1" applyFont="1">
      <alignment horizontal="center" shrinkToFit="0" vertical="center" wrapText="1"/>
    </xf>
    <xf borderId="2" fillId="2" fontId="7" numFmtId="0" xfId="0" applyAlignment="1" applyBorder="1" applyFill="1" applyFont="1">
      <alignment horizontal="center" shrinkToFit="0" vertical="center" wrapText="1"/>
    </xf>
    <xf borderId="1" fillId="8" fontId="10" numFmtId="0" xfId="0" applyBorder="1" applyFill="1" applyFont="1"/>
    <xf borderId="1" fillId="8" fontId="6" numFmtId="0" xfId="0" applyBorder="1" applyFill="1" applyFont="1"/>
    <xf borderId="3" fillId="2" fontId="15" numFmtId="165" xfId="0" applyAlignment="1" applyBorder="1" applyFill="1" applyFont="1" applyNumberFormat="1">
      <alignment horizontal="center" shrinkToFit="0" vertical="center" wrapText="1"/>
    </xf>
    <xf borderId="3" fillId="6" fontId="15" numFmtId="165" xfId="0" applyAlignment="1" applyBorder="1" applyFill="1" applyFont="1" applyNumberFormat="1">
      <alignment horizontal="center" shrinkToFit="0" vertical="center" wrapText="1"/>
    </xf>
    <xf borderId="1" fillId="8" fontId="6" numFmtId="9" xfId="0" applyAlignment="1" applyBorder="1" applyFill="1" applyFont="1" applyNumberFormat="1">
      <alignment horizontal="center" shrinkToFit="0" vertical="center" wrapText="1"/>
    </xf>
    <xf borderId="4" fillId="0" fontId="16" numFmtId="0" xfId="0" applyBorder="1" applyFont="1"/>
    <xf borderId="1" fillId="0" fontId="9" numFmtId="9" xfId="0" applyAlignment="1" applyBorder="1" applyFont="1" applyNumberFormat="1">
      <alignment horizontal="center" shrinkToFit="0" vertical="center" wrapText="1"/>
    </xf>
    <xf borderId="3" fillId="2" fontId="15" numFmtId="166" xfId="0" applyAlignment="1" applyBorder="1" applyFill="1" applyFont="1" applyNumberFormat="1">
      <alignment horizontal="center" textRotation="90" vertical="center"/>
    </xf>
    <xf borderId="3" fillId="6" fontId="15" numFmtId="166" xfId="0" applyAlignment="1" applyBorder="1" applyFill="1" applyFont="1" applyNumberFormat="1">
      <alignment horizontal="center" textRotation="90" vertical="center"/>
    </xf>
    <xf borderId="3" fillId="8" fontId="6" numFmtId="1" xfId="0" applyAlignment="1" applyBorder="1" applyFill="1" applyFont="1" applyNumberFormat="1">
      <alignment horizontal="center" shrinkToFit="0" vertical="center" wrapText="1"/>
    </xf>
    <xf borderId="3" fillId="8" fontId="6" numFmtId="0" xfId="0" applyAlignment="1" applyBorder="1" applyFill="1" applyFont="1">
      <alignment horizontal="left" shrinkToFit="0" vertical="center" wrapText="1"/>
    </xf>
    <xf borderId="3" fillId="8" fontId="6" numFmtId="0" xfId="0" applyAlignment="1" applyBorder="1" applyFill="1" applyFont="1">
      <alignment horizontal="left" vertical="center"/>
    </xf>
    <xf borderId="3" fillId="8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8" fontId="6" numFmtId="15" xfId="0" applyAlignment="1" applyBorder="1" applyFill="1" applyFont="1" applyNumberFormat="1">
      <alignment horizontal="center" shrinkToFit="0" vertical="center" wrapText="1"/>
    </xf>
    <xf borderId="3" fillId="8" fontId="6" numFmtId="167" xfId="0" applyAlignment="1" applyBorder="1" applyFill="1" applyFont="1" applyNumberFormat="1">
      <alignment horizontal="center" shrinkToFit="0" vertical="center" wrapText="1"/>
    </xf>
    <xf borderId="3" fillId="8" fontId="6" numFmtId="9" xfId="0" applyAlignment="1" applyBorder="1" applyFill="1" applyFont="1" applyNumberFormat="1">
      <alignment horizontal="center" shrinkToFit="0" vertical="center" wrapText="1"/>
    </xf>
    <xf borderId="3" fillId="0" fontId="17" numFmtId="0" xfId="0" applyBorder="1" applyFont="1"/>
    <xf borderId="3" fillId="9" fontId="17" numFmtId="0" xfId="0" applyBorder="1" applyFill="1" applyFont="1"/>
    <xf borderId="3" fillId="7" fontId="17" numFmtId="0" xfId="0" applyBorder="1" applyFill="1" applyFont="1"/>
    <xf borderId="3" fillId="8" fontId="18" numFmtId="0" xfId="0" applyAlignment="1" applyBorder="1" applyFill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left" vertical="center"/>
    </xf>
    <xf borderId="3" fillId="0" fontId="12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0" fontId="9" numFmtId="15" xfId="0" applyAlignment="1" applyBorder="1" applyFont="1" applyNumberFormat="1">
      <alignment horizontal="center" shrinkToFit="0" vertical="center" wrapText="1"/>
    </xf>
    <xf borderId="3" fillId="0" fontId="9" numFmtId="167" xfId="0" applyAlignment="1" applyBorder="1" applyFont="1" applyNumberFormat="1">
      <alignment horizontal="center" shrinkToFit="0" vertical="center" wrapText="1"/>
    </xf>
    <xf borderId="3" fillId="0" fontId="12" numFmtId="9" xfId="0" applyAlignment="1" applyBorder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3" fillId="0" fontId="8" numFmtId="167" xfId="0" applyAlignment="1" applyBorder="1" applyFont="1" applyNumberFormat="1">
      <alignment horizontal="center" shrinkToFit="0" vertical="center" wrapText="1"/>
    </xf>
    <xf borderId="3" fillId="0" fontId="12" numFmtId="9" xfId="0" applyAlignment="1" applyBorder="1" applyFont="1" applyNumberFormat="1">
      <alignment horizontal="center" readingOrder="0" shrinkToFit="0" vertical="center" wrapText="1"/>
    </xf>
    <xf borderId="3" fillId="8" fontId="6" numFmtId="49" xfId="0" applyAlignment="1" applyBorder="1" applyFill="1" applyFont="1" applyNumberFormat="1">
      <alignment horizontal="center" shrinkToFit="0" vertical="center" wrapText="1"/>
    </xf>
    <xf borderId="3" fillId="0" fontId="9" numFmtId="9" xfId="0" applyAlignment="1" applyBorder="1" applyFont="1" applyNumberFormat="1">
      <alignment horizontal="center" shrinkToFit="0" vertical="center" wrapText="1"/>
    </xf>
    <xf borderId="0" fillId="0" fontId="6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9">
    <dxf>
      <font>
        <b/>
        <color rgb="FFC00000"/>
      </font>
      <fill>
        <patternFill patternType="none"/>
      </fill>
      <border/>
    </dxf>
    <dxf>
      <font>
        <b/>
        <color rgb="FFED7D31"/>
      </font>
      <fill>
        <patternFill patternType="none"/>
      </fill>
      <border/>
    </dxf>
    <dxf>
      <font>
        <b/>
        <color rgb="FF2E9E5B"/>
      </font>
      <fill>
        <patternFill patternType="none"/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1F4E9C"/>
          <bgColor rgb="FF1F4E9C"/>
        </patternFill>
      </fill>
      <border/>
    </dxf>
    <dxf>
      <font/>
      <fill>
        <patternFill patternType="solid">
          <fgColor rgb="FF2E9E5B"/>
          <bgColor rgb="FF2E9E5B"/>
        </patternFill>
      </fill>
      <border/>
    </dxf>
    <dxf>
      <font/>
      <fill>
        <patternFill patternType="solid">
          <fgColor rgb="FF55A8D0"/>
          <bgColor rgb="FF55A8D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5.14"/>
    <col customWidth="1" min="3" max="3" width="30.0"/>
    <col customWidth="1" min="4" max="6" width="8.0"/>
    <col customWidth="1" min="7" max="8" width="12.0"/>
    <col customWidth="1" min="9" max="9" width="8.0"/>
    <col customWidth="1" min="10" max="10" width="9.0"/>
    <col customWidth="1" min="11" max="11" width="11.0"/>
    <col customWidth="1" min="12" max="27" width="4.57"/>
    <col customWidth="1" min="28" max="28" width="52.0"/>
    <col customWidth="1" min="29" max="29" width="11.0"/>
    <col customWidth="1" min="30" max="30" width="10.0"/>
  </cols>
  <sheetData>
    <row r="1" ht="17.25" customHeight="1">
      <c r="A1" s="2" t="s">
        <v>2</v>
      </c>
    </row>
    <row r="2" ht="15.0" customHeight="1">
      <c r="A2" s="4"/>
    </row>
    <row r="3" ht="15.0" customHeight="1">
      <c r="B3" s="6"/>
      <c r="C3" s="8">
        <v>46293.0</v>
      </c>
      <c r="L3" s="10"/>
      <c r="M3" s="12" t="s">
        <v>24</v>
      </c>
      <c r="Q3" s="14"/>
      <c r="R3" s="12" t="s">
        <v>33</v>
      </c>
      <c r="V3" s="16"/>
      <c r="W3" s="12" t="s">
        <v>36</v>
      </c>
    </row>
    <row r="4" ht="15.0" customHeight="1">
      <c r="B4" s="17"/>
      <c r="L4" s="18"/>
      <c r="M4" s="12" t="s">
        <v>41</v>
      </c>
      <c r="Q4" s="19"/>
      <c r="R4" s="12" t="s">
        <v>45</v>
      </c>
    </row>
    <row r="5" ht="15.0" customHeight="1">
      <c r="V5" s="20" t="s">
        <v>47</v>
      </c>
      <c r="AA5" s="20" t="s">
        <v>49</v>
      </c>
    </row>
    <row r="6" ht="21.75" customHeight="1">
      <c r="A6" s="21" t="s">
        <v>51</v>
      </c>
      <c r="B6" s="21" t="s">
        <v>56</v>
      </c>
      <c r="C6" s="21" t="s">
        <v>60</v>
      </c>
      <c r="D6" s="21" t="s">
        <v>62</v>
      </c>
      <c r="E6" s="21" t="s">
        <v>63</v>
      </c>
      <c r="F6" s="21" t="s">
        <v>65</v>
      </c>
      <c r="G6" s="21" t="s">
        <v>66</v>
      </c>
      <c r="H6" s="21" t="s">
        <v>67</v>
      </c>
      <c r="I6" s="21" t="s">
        <v>68</v>
      </c>
      <c r="J6" s="21" t="s">
        <v>69</v>
      </c>
      <c r="K6" s="21" t="s">
        <v>70</v>
      </c>
      <c r="L6" s="24">
        <v>1.0</v>
      </c>
      <c r="M6" s="24">
        <v>2.0</v>
      </c>
      <c r="N6" s="24">
        <v>3.0</v>
      </c>
      <c r="O6" s="24">
        <v>4.0</v>
      </c>
      <c r="P6" s="24">
        <v>5.0</v>
      </c>
      <c r="Q6" s="24">
        <v>6.0</v>
      </c>
      <c r="R6" s="24">
        <v>7.0</v>
      </c>
      <c r="S6" s="24">
        <v>8.0</v>
      </c>
      <c r="T6" s="24">
        <v>9.0</v>
      </c>
      <c r="U6" s="24">
        <v>10.0</v>
      </c>
      <c r="V6" s="25">
        <v>11.0</v>
      </c>
      <c r="W6" s="24">
        <v>12.0</v>
      </c>
      <c r="X6" s="24">
        <v>13.0</v>
      </c>
      <c r="Y6" s="24">
        <v>14.0</v>
      </c>
      <c r="Z6" s="24">
        <v>15.0</v>
      </c>
      <c r="AA6" s="25">
        <v>16.0</v>
      </c>
      <c r="AB6" s="21" t="s">
        <v>71</v>
      </c>
      <c r="AC6" s="21" t="s">
        <v>72</v>
      </c>
      <c r="AD6" s="21" t="s">
        <v>74</v>
      </c>
    </row>
    <row r="7" ht="33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9">
        <f t="shared" ref="L7:AA7" si="1">$C$3+7*(L$6-1)</f>
        <v>46293</v>
      </c>
      <c r="M7" s="29">
        <f t="shared" si="1"/>
        <v>46300</v>
      </c>
      <c r="N7" s="29">
        <f t="shared" si="1"/>
        <v>46307</v>
      </c>
      <c r="O7" s="29">
        <f t="shared" si="1"/>
        <v>46314</v>
      </c>
      <c r="P7" s="29">
        <f t="shared" si="1"/>
        <v>46321</v>
      </c>
      <c r="Q7" s="29">
        <f t="shared" si="1"/>
        <v>46328</v>
      </c>
      <c r="R7" s="29">
        <f t="shared" si="1"/>
        <v>46335</v>
      </c>
      <c r="S7" s="29">
        <f t="shared" si="1"/>
        <v>46342</v>
      </c>
      <c r="T7" s="29">
        <f t="shared" si="1"/>
        <v>46349</v>
      </c>
      <c r="U7" s="29">
        <f t="shared" si="1"/>
        <v>46356</v>
      </c>
      <c r="V7" s="30">
        <f t="shared" si="1"/>
        <v>46363</v>
      </c>
      <c r="W7" s="29">
        <f t="shared" si="1"/>
        <v>46370</v>
      </c>
      <c r="X7" s="29">
        <f t="shared" si="1"/>
        <v>46377</v>
      </c>
      <c r="Y7" s="29">
        <f t="shared" si="1"/>
        <v>46384</v>
      </c>
      <c r="Z7" s="29">
        <f t="shared" si="1"/>
        <v>46391</v>
      </c>
      <c r="AA7" s="30">
        <f t="shared" si="1"/>
        <v>46398</v>
      </c>
      <c r="AB7" s="27"/>
      <c r="AC7" s="27"/>
      <c r="AD7" s="27"/>
    </row>
    <row r="8" ht="15.0" customHeight="1">
      <c r="A8" s="31">
        <v>1.0</v>
      </c>
      <c r="B8" s="32" t="s">
        <v>81</v>
      </c>
      <c r="C8" s="33"/>
      <c r="D8" s="34">
        <f>MIN(D9:D20)</f>
        <v>1</v>
      </c>
      <c r="E8" s="34">
        <f>MAX(E9:E20)</f>
        <v>2</v>
      </c>
      <c r="F8" s="34">
        <f t="shared" ref="F8:F66" si="2">E8-D8+1</f>
        <v>2</v>
      </c>
      <c r="G8" s="36">
        <f t="shared" ref="G8:G9" si="3">$C$3+7*(D8-1)</f>
        <v>46293</v>
      </c>
      <c r="H8" s="36">
        <v>46305.0</v>
      </c>
      <c r="I8" s="37">
        <f>SUM(I9:I20)</f>
        <v>0.1</v>
      </c>
      <c r="J8" s="38">
        <f>AVERAGE(J9:J20)</f>
        <v>1</v>
      </c>
      <c r="K8" s="34"/>
      <c r="L8" s="39"/>
      <c r="M8" s="39"/>
      <c r="N8" s="40"/>
      <c r="O8" s="41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3" t="s">
        <v>83</v>
      </c>
      <c r="AC8" s="34"/>
      <c r="AD8" s="42" t="s">
        <v>24</v>
      </c>
    </row>
    <row r="9" ht="15.0" customHeight="1">
      <c r="A9" s="43" t="s">
        <v>84</v>
      </c>
      <c r="B9" s="44" t="s">
        <v>85</v>
      </c>
      <c r="C9" s="45" t="s">
        <v>86</v>
      </c>
      <c r="D9" s="46">
        <v>1.0</v>
      </c>
      <c r="E9" s="46">
        <v>1.0</v>
      </c>
      <c r="F9" s="47">
        <f t="shared" si="2"/>
        <v>1</v>
      </c>
      <c r="G9" s="48">
        <f t="shared" si="3"/>
        <v>46293</v>
      </c>
      <c r="H9" s="48">
        <v>46297.0</v>
      </c>
      <c r="I9" s="49"/>
      <c r="J9" s="50">
        <v>1.0</v>
      </c>
      <c r="K9" s="51" t="s">
        <v>87</v>
      </c>
      <c r="L9" s="39"/>
      <c r="M9" s="39"/>
      <c r="N9" s="40" t="str">
        <f>IFERROR(__xludf.DUMMYFUNCTION("AI(""Fill an appropriate value for this cell based on the table context"")"),"")</f>
        <v/>
      </c>
      <c r="O9" s="41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45" t="s">
        <v>88</v>
      </c>
      <c r="AC9" s="47" t="s">
        <v>89</v>
      </c>
      <c r="AD9" s="52" t="s">
        <v>90</v>
      </c>
    </row>
    <row r="10" ht="15.0" customHeight="1">
      <c r="A10" s="43" t="s">
        <v>91</v>
      </c>
      <c r="B10" s="44" t="s">
        <v>92</v>
      </c>
      <c r="C10" s="45" t="s">
        <v>86</v>
      </c>
      <c r="D10" s="46">
        <v>1.0</v>
      </c>
      <c r="E10" s="46">
        <v>1.0</v>
      </c>
      <c r="F10" s="47">
        <f t="shared" si="2"/>
        <v>1</v>
      </c>
      <c r="G10" s="48">
        <v>46298.0</v>
      </c>
      <c r="H10" s="48">
        <v>46300.0</v>
      </c>
      <c r="I10" s="49"/>
      <c r="J10" s="50">
        <v>1.0</v>
      </c>
      <c r="K10" s="51" t="s">
        <v>93</v>
      </c>
      <c r="L10" s="39"/>
      <c r="M10" s="39"/>
      <c r="N10" s="40"/>
      <c r="O10" s="41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45"/>
      <c r="AC10" s="47" t="s">
        <v>89</v>
      </c>
      <c r="AD10" s="52" t="s">
        <v>90</v>
      </c>
    </row>
    <row r="11" ht="30.0" customHeight="1">
      <c r="A11" s="43" t="s">
        <v>94</v>
      </c>
      <c r="B11" s="44" t="s">
        <v>95</v>
      </c>
      <c r="C11" s="45" t="s">
        <v>96</v>
      </c>
      <c r="D11" s="46">
        <v>1.0</v>
      </c>
      <c r="E11" s="46">
        <v>2.0</v>
      </c>
      <c r="F11" s="47">
        <f t="shared" si="2"/>
        <v>2</v>
      </c>
      <c r="G11" s="48">
        <v>46299.0</v>
      </c>
      <c r="H11" s="48">
        <v>46299.0</v>
      </c>
      <c r="I11" s="49"/>
      <c r="J11" s="50">
        <v>1.0</v>
      </c>
      <c r="K11" s="51" t="s">
        <v>93</v>
      </c>
      <c r="L11" s="39"/>
      <c r="M11" s="39"/>
      <c r="N11" s="40"/>
      <c r="O11" s="41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45"/>
      <c r="AC11" s="47" t="s">
        <v>89</v>
      </c>
      <c r="AD11" s="52" t="s">
        <v>90</v>
      </c>
    </row>
    <row r="12" ht="15.0" customHeight="1">
      <c r="A12" s="43" t="s">
        <v>97</v>
      </c>
      <c r="B12" s="44" t="s">
        <v>98</v>
      </c>
      <c r="C12" s="45" t="s">
        <v>86</v>
      </c>
      <c r="D12" s="46">
        <v>1.0</v>
      </c>
      <c r="E12" s="46">
        <v>1.0</v>
      </c>
      <c r="F12" s="47">
        <f t="shared" si="2"/>
        <v>1</v>
      </c>
      <c r="G12" s="48">
        <v>46300.0</v>
      </c>
      <c r="H12" s="48">
        <v>46300.0</v>
      </c>
      <c r="I12" s="49"/>
      <c r="J12" s="50">
        <v>1.0</v>
      </c>
      <c r="K12" s="51" t="s">
        <v>93</v>
      </c>
      <c r="L12" s="39"/>
      <c r="M12" s="39"/>
      <c r="N12" s="40"/>
      <c r="O12" s="41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45"/>
      <c r="AC12" s="47" t="s">
        <v>89</v>
      </c>
      <c r="AD12" s="52" t="s">
        <v>90</v>
      </c>
    </row>
    <row r="13" ht="15.0" customHeight="1">
      <c r="A13" s="43" t="s">
        <v>99</v>
      </c>
      <c r="B13" s="44" t="s">
        <v>100</v>
      </c>
      <c r="C13" s="45" t="s">
        <v>101</v>
      </c>
      <c r="D13" s="46">
        <v>1.0</v>
      </c>
      <c r="E13" s="46">
        <v>1.0</v>
      </c>
      <c r="F13" s="47">
        <f t="shared" si="2"/>
        <v>1</v>
      </c>
      <c r="G13" s="48">
        <v>46301.0</v>
      </c>
      <c r="H13" s="48">
        <v>46301.0</v>
      </c>
      <c r="I13" s="49"/>
      <c r="J13" s="50">
        <v>1.0</v>
      </c>
      <c r="K13" s="51" t="s">
        <v>93</v>
      </c>
      <c r="L13" s="39"/>
      <c r="M13" s="39"/>
      <c r="N13" s="40"/>
      <c r="O13" s="41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45"/>
      <c r="AC13" s="47" t="s">
        <v>89</v>
      </c>
      <c r="AD13" s="52" t="s">
        <v>90</v>
      </c>
    </row>
    <row r="14" ht="15.0" customHeight="1">
      <c r="A14" s="43" t="s">
        <v>102</v>
      </c>
      <c r="B14" s="44" t="s">
        <v>103</v>
      </c>
      <c r="C14" s="45" t="s">
        <v>104</v>
      </c>
      <c r="D14" s="46">
        <v>1.0</v>
      </c>
      <c r="E14" s="46">
        <v>1.0</v>
      </c>
      <c r="F14" s="47">
        <f t="shared" si="2"/>
        <v>1</v>
      </c>
      <c r="G14" s="48">
        <v>46302.0</v>
      </c>
      <c r="H14" s="48">
        <v>46302.0</v>
      </c>
      <c r="I14" s="49"/>
      <c r="J14" s="50">
        <v>1.0</v>
      </c>
      <c r="K14" s="51" t="s">
        <v>93</v>
      </c>
      <c r="L14" s="39"/>
      <c r="M14" s="39"/>
      <c r="N14" s="40"/>
      <c r="O14" s="41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45" t="s">
        <v>105</v>
      </c>
      <c r="AC14" s="47" t="s">
        <v>89</v>
      </c>
      <c r="AD14" s="52" t="s">
        <v>90</v>
      </c>
    </row>
    <row r="15" ht="30.0" customHeight="1">
      <c r="A15" s="43" t="s">
        <v>106</v>
      </c>
      <c r="B15" s="44" t="s">
        <v>107</v>
      </c>
      <c r="C15" s="45" t="s">
        <v>108</v>
      </c>
      <c r="D15" s="46">
        <v>2.0</v>
      </c>
      <c r="E15" s="46">
        <v>2.0</v>
      </c>
      <c r="F15" s="47">
        <f t="shared" si="2"/>
        <v>1</v>
      </c>
      <c r="G15" s="48">
        <v>46302.0</v>
      </c>
      <c r="H15" s="48">
        <v>46303.0</v>
      </c>
      <c r="I15" s="49"/>
      <c r="J15" s="50">
        <v>1.0</v>
      </c>
      <c r="K15" s="51" t="s">
        <v>93</v>
      </c>
      <c r="L15" s="39"/>
      <c r="M15" s="39"/>
      <c r="N15" s="40"/>
      <c r="O15" s="41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45" t="s">
        <v>109</v>
      </c>
      <c r="AC15" s="47" t="s">
        <v>110</v>
      </c>
      <c r="AD15" s="52" t="s">
        <v>90</v>
      </c>
    </row>
    <row r="16" ht="15.0" customHeight="1">
      <c r="A16" s="43" t="s">
        <v>111</v>
      </c>
      <c r="B16" s="44" t="s">
        <v>112</v>
      </c>
      <c r="C16" s="45" t="s">
        <v>86</v>
      </c>
      <c r="D16" s="46">
        <v>2.0</v>
      </c>
      <c r="E16" s="46">
        <v>2.0</v>
      </c>
      <c r="F16" s="47">
        <f t="shared" si="2"/>
        <v>1</v>
      </c>
      <c r="G16" s="48">
        <v>46302.0</v>
      </c>
      <c r="H16" s="48">
        <v>46302.0</v>
      </c>
      <c r="I16" s="49"/>
      <c r="J16" s="50">
        <v>1.0</v>
      </c>
      <c r="K16" s="51" t="s">
        <v>93</v>
      </c>
      <c r="L16" s="39"/>
      <c r="M16" s="39"/>
      <c r="N16" s="40"/>
      <c r="O16" s="41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45"/>
      <c r="AC16" s="47" t="s">
        <v>110</v>
      </c>
      <c r="AD16" s="52" t="s">
        <v>90</v>
      </c>
    </row>
    <row r="17" ht="15.0" customHeight="1">
      <c r="A17" s="43" t="s">
        <v>113</v>
      </c>
      <c r="B17" s="44" t="s">
        <v>114</v>
      </c>
      <c r="C17" s="45" t="s">
        <v>115</v>
      </c>
      <c r="D17" s="46">
        <v>2.0</v>
      </c>
      <c r="E17" s="46">
        <v>2.0</v>
      </c>
      <c r="F17" s="47">
        <f t="shared" si="2"/>
        <v>1</v>
      </c>
      <c r="G17" s="48">
        <v>46302.0</v>
      </c>
      <c r="H17" s="48">
        <v>46304.0</v>
      </c>
      <c r="I17" s="49"/>
      <c r="J17" s="50">
        <v>1.0</v>
      </c>
      <c r="K17" s="51" t="s">
        <v>93</v>
      </c>
      <c r="L17" s="39"/>
      <c r="M17" s="39"/>
      <c r="N17" s="40"/>
      <c r="O17" s="41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45"/>
      <c r="AC17" s="47" t="s">
        <v>89</v>
      </c>
      <c r="AD17" s="52" t="s">
        <v>90</v>
      </c>
    </row>
    <row r="18" ht="15.0" customHeight="1">
      <c r="A18" s="43" t="s">
        <v>116</v>
      </c>
      <c r="B18" s="44" t="s">
        <v>117</v>
      </c>
      <c r="C18" s="45" t="s">
        <v>86</v>
      </c>
      <c r="D18" s="46">
        <v>2.0</v>
      </c>
      <c r="E18" s="46">
        <v>2.0</v>
      </c>
      <c r="F18" s="47">
        <f t="shared" si="2"/>
        <v>1</v>
      </c>
      <c r="G18" s="48">
        <v>46303.0</v>
      </c>
      <c r="H18" s="48">
        <v>46303.0</v>
      </c>
      <c r="I18" s="49"/>
      <c r="J18" s="50">
        <v>1.0</v>
      </c>
      <c r="K18" s="51" t="s">
        <v>93</v>
      </c>
      <c r="L18" s="39"/>
      <c r="M18" s="39"/>
      <c r="N18" s="40"/>
      <c r="O18" s="41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45"/>
      <c r="AC18" s="47" t="s">
        <v>89</v>
      </c>
      <c r="AD18" s="52" t="s">
        <v>90</v>
      </c>
    </row>
    <row r="19" ht="15.0" customHeight="1">
      <c r="A19" s="43" t="s">
        <v>118</v>
      </c>
      <c r="B19" s="44" t="s">
        <v>119</v>
      </c>
      <c r="C19" s="45" t="s">
        <v>104</v>
      </c>
      <c r="D19" s="46">
        <v>2.0</v>
      </c>
      <c r="E19" s="46">
        <v>2.0</v>
      </c>
      <c r="F19" s="47">
        <f t="shared" si="2"/>
        <v>1</v>
      </c>
      <c r="G19" s="48">
        <v>46304.0</v>
      </c>
      <c r="H19" s="48">
        <v>46305.0</v>
      </c>
      <c r="I19" s="49"/>
      <c r="J19" s="50">
        <v>1.0</v>
      </c>
      <c r="K19" s="51" t="s">
        <v>93</v>
      </c>
      <c r="L19" s="39"/>
      <c r="M19" s="39"/>
      <c r="N19" s="40"/>
      <c r="O19" s="41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5"/>
      <c r="AC19" s="47" t="s">
        <v>89</v>
      </c>
      <c r="AD19" s="52" t="s">
        <v>90</v>
      </c>
    </row>
    <row r="20" ht="15.0" customHeight="1">
      <c r="A20" s="43" t="s">
        <v>120</v>
      </c>
      <c r="B20" s="44" t="s">
        <v>121</v>
      </c>
      <c r="C20" s="45" t="s">
        <v>86</v>
      </c>
      <c r="D20" s="46">
        <v>2.0</v>
      </c>
      <c r="E20" s="46">
        <v>2.0</v>
      </c>
      <c r="F20" s="47">
        <f t="shared" si="2"/>
        <v>1</v>
      </c>
      <c r="G20" s="48">
        <v>46302.0</v>
      </c>
      <c r="H20" s="48">
        <v>46305.0</v>
      </c>
      <c r="I20" s="53">
        <v>0.1</v>
      </c>
      <c r="J20" s="50">
        <v>1.0</v>
      </c>
      <c r="K20" s="51" t="s">
        <v>93</v>
      </c>
      <c r="L20" s="39"/>
      <c r="M20" s="39"/>
      <c r="N20" s="40"/>
      <c r="O20" s="41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45" t="s">
        <v>122</v>
      </c>
      <c r="AC20" s="47" t="s">
        <v>89</v>
      </c>
      <c r="AD20" s="52" t="s">
        <v>90</v>
      </c>
    </row>
    <row r="21" ht="15.75" customHeight="1">
      <c r="A21" s="31">
        <v>2.0</v>
      </c>
      <c r="B21" s="32" t="s">
        <v>123</v>
      </c>
      <c r="C21" s="33"/>
      <c r="D21" s="34">
        <f>MIN(D22:D26)</f>
        <v>3</v>
      </c>
      <c r="E21" s="34">
        <f>MAX(E22:E26)</f>
        <v>4</v>
      </c>
      <c r="F21" s="34">
        <f t="shared" si="2"/>
        <v>2</v>
      </c>
      <c r="G21" s="36">
        <f t="shared" ref="G21:G66" si="4">$C$3+7*(D21-1)</f>
        <v>46307</v>
      </c>
      <c r="H21" s="36">
        <f t="shared" ref="H21:H66" si="5">$C$3+7*E21-1</f>
        <v>46320</v>
      </c>
      <c r="I21" s="37">
        <f>SUM(I22:I26)</f>
        <v>0.15</v>
      </c>
      <c r="J21" s="38">
        <f>AVERAGE(J22:J26)</f>
        <v>1</v>
      </c>
      <c r="K21" s="34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3" t="s">
        <v>124</v>
      </c>
      <c r="AC21" s="34"/>
      <c r="AD21" s="42" t="s">
        <v>24</v>
      </c>
    </row>
    <row r="22" ht="30.0" customHeight="1">
      <c r="A22" s="43" t="s">
        <v>125</v>
      </c>
      <c r="B22" s="44" t="s">
        <v>126</v>
      </c>
      <c r="C22" s="45" t="s">
        <v>108</v>
      </c>
      <c r="D22" s="46">
        <v>3.0</v>
      </c>
      <c r="E22" s="46">
        <v>3.0</v>
      </c>
      <c r="F22" s="47">
        <f t="shared" si="2"/>
        <v>1</v>
      </c>
      <c r="G22" s="48">
        <f t="shared" si="4"/>
        <v>46307</v>
      </c>
      <c r="H22" s="48">
        <f t="shared" si="5"/>
        <v>46313</v>
      </c>
      <c r="I22" s="49"/>
      <c r="J22" s="54">
        <v>1.0</v>
      </c>
      <c r="K22" s="51" t="s">
        <v>93</v>
      </c>
      <c r="L22" s="39"/>
      <c r="M22" s="39"/>
      <c r="N22" s="39"/>
      <c r="O22" s="41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45"/>
      <c r="AC22" s="47" t="s">
        <v>110</v>
      </c>
      <c r="AD22" s="52" t="s">
        <v>90</v>
      </c>
    </row>
    <row r="23" ht="30.0" customHeight="1">
      <c r="A23" s="43" t="s">
        <v>127</v>
      </c>
      <c r="B23" s="44" t="s">
        <v>128</v>
      </c>
      <c r="C23" s="45" t="s">
        <v>129</v>
      </c>
      <c r="D23" s="46">
        <v>3.0</v>
      </c>
      <c r="E23" s="46">
        <v>4.0</v>
      </c>
      <c r="F23" s="47">
        <f t="shared" si="2"/>
        <v>2</v>
      </c>
      <c r="G23" s="48">
        <f t="shared" si="4"/>
        <v>46307</v>
      </c>
      <c r="H23" s="48">
        <f t="shared" si="5"/>
        <v>46320</v>
      </c>
      <c r="I23" s="49"/>
      <c r="J23" s="54">
        <v>1.0</v>
      </c>
      <c r="K23" s="51" t="s">
        <v>93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5"/>
      <c r="AC23" s="47" t="s">
        <v>89</v>
      </c>
      <c r="AD23" s="52" t="s">
        <v>90</v>
      </c>
    </row>
    <row r="24" ht="15.75" customHeight="1">
      <c r="A24" s="43" t="s">
        <v>130</v>
      </c>
      <c r="B24" s="44" t="s">
        <v>131</v>
      </c>
      <c r="C24" s="45" t="s">
        <v>86</v>
      </c>
      <c r="D24" s="46">
        <v>4.0</v>
      </c>
      <c r="E24" s="46">
        <v>4.0</v>
      </c>
      <c r="F24" s="47">
        <f t="shared" si="2"/>
        <v>1</v>
      </c>
      <c r="G24" s="48">
        <f t="shared" si="4"/>
        <v>46314</v>
      </c>
      <c r="H24" s="48">
        <f t="shared" si="5"/>
        <v>46320</v>
      </c>
      <c r="I24" s="49"/>
      <c r="J24" s="54">
        <v>1.0</v>
      </c>
      <c r="K24" s="51" t="s">
        <v>93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5"/>
      <c r="AC24" s="47" t="s">
        <v>110</v>
      </c>
      <c r="AD24" s="52" t="s">
        <v>90</v>
      </c>
    </row>
    <row r="25" ht="15.75" customHeight="1">
      <c r="A25" s="43" t="s">
        <v>132</v>
      </c>
      <c r="B25" s="44" t="s">
        <v>133</v>
      </c>
      <c r="C25" s="45" t="s">
        <v>86</v>
      </c>
      <c r="D25" s="46">
        <v>4.0</v>
      </c>
      <c r="E25" s="46">
        <v>4.0</v>
      </c>
      <c r="F25" s="47">
        <f t="shared" si="2"/>
        <v>1</v>
      </c>
      <c r="G25" s="48">
        <f t="shared" si="4"/>
        <v>46314</v>
      </c>
      <c r="H25" s="48">
        <f t="shared" si="5"/>
        <v>46320</v>
      </c>
      <c r="I25" s="49"/>
      <c r="J25" s="54">
        <v>1.0</v>
      </c>
      <c r="K25" s="51" t="s">
        <v>93</v>
      </c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45"/>
      <c r="AC25" s="47" t="s">
        <v>110</v>
      </c>
      <c r="AD25" s="52" t="s">
        <v>90</v>
      </c>
    </row>
    <row r="26" ht="15.75" customHeight="1">
      <c r="A26" s="43" t="s">
        <v>134</v>
      </c>
      <c r="B26" s="44" t="s">
        <v>135</v>
      </c>
      <c r="C26" s="45" t="s">
        <v>136</v>
      </c>
      <c r="D26" s="46">
        <v>4.0</v>
      </c>
      <c r="E26" s="46">
        <v>4.0</v>
      </c>
      <c r="F26" s="47">
        <f t="shared" si="2"/>
        <v>1</v>
      </c>
      <c r="G26" s="48">
        <f t="shared" si="4"/>
        <v>46314</v>
      </c>
      <c r="H26" s="48">
        <f t="shared" si="5"/>
        <v>46320</v>
      </c>
      <c r="I26" s="53">
        <v>0.15</v>
      </c>
      <c r="J26" s="54">
        <v>1.0</v>
      </c>
      <c r="K26" s="51" t="s">
        <v>93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45" t="s">
        <v>137</v>
      </c>
      <c r="AC26" s="47" t="s">
        <v>89</v>
      </c>
      <c r="AD26" s="52" t="s">
        <v>90</v>
      </c>
    </row>
    <row r="27" ht="15.75" customHeight="1">
      <c r="A27" s="31">
        <v>3.0</v>
      </c>
      <c r="B27" s="32" t="s">
        <v>138</v>
      </c>
      <c r="C27" s="33"/>
      <c r="D27" s="34">
        <f>MIN(D28:D34)</f>
        <v>5</v>
      </c>
      <c r="E27" s="34">
        <f>MAX(E28:E34)</f>
        <v>6</v>
      </c>
      <c r="F27" s="34">
        <f t="shared" si="2"/>
        <v>2</v>
      </c>
      <c r="G27" s="36">
        <f t="shared" si="4"/>
        <v>46321</v>
      </c>
      <c r="H27" s="36">
        <f t="shared" si="5"/>
        <v>46334</v>
      </c>
      <c r="I27" s="37">
        <f>SUM(I28:I34)</f>
        <v>0.2</v>
      </c>
      <c r="J27" s="38">
        <f>AVERAGE(J28:J34)</f>
        <v>0</v>
      </c>
      <c r="K27" s="34"/>
      <c r="L27" s="39"/>
      <c r="M27" s="39"/>
      <c r="N27" s="39"/>
      <c r="O27" s="41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3" t="s">
        <v>139</v>
      </c>
      <c r="AC27" s="34"/>
      <c r="AD27" s="42" t="s">
        <v>24</v>
      </c>
    </row>
    <row r="28" ht="30.0" customHeight="1">
      <c r="A28" s="43" t="s">
        <v>140</v>
      </c>
      <c r="B28" s="44" t="s">
        <v>141</v>
      </c>
      <c r="C28" s="45" t="s">
        <v>108</v>
      </c>
      <c r="D28" s="46">
        <v>5.0</v>
      </c>
      <c r="E28" s="46">
        <v>5.0</v>
      </c>
      <c r="F28" s="47">
        <f t="shared" si="2"/>
        <v>1</v>
      </c>
      <c r="G28" s="48">
        <f t="shared" si="4"/>
        <v>46321</v>
      </c>
      <c r="H28" s="48">
        <f t="shared" si="5"/>
        <v>46327</v>
      </c>
      <c r="I28" s="49"/>
      <c r="J28" s="50">
        <v>0.0</v>
      </c>
      <c r="K28" s="46" t="s">
        <v>142</v>
      </c>
      <c r="L28" s="39"/>
      <c r="M28" s="39"/>
      <c r="N28" s="39"/>
      <c r="O28" s="41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5"/>
      <c r="AC28" s="47" t="s">
        <v>110</v>
      </c>
      <c r="AD28" s="52" t="s">
        <v>90</v>
      </c>
    </row>
    <row r="29" ht="45.0" customHeight="1">
      <c r="A29" s="43" t="s">
        <v>143</v>
      </c>
      <c r="B29" s="44" t="s">
        <v>144</v>
      </c>
      <c r="C29" s="45" t="s">
        <v>108</v>
      </c>
      <c r="D29" s="46">
        <v>5.0</v>
      </c>
      <c r="E29" s="46">
        <v>6.0</v>
      </c>
      <c r="F29" s="47">
        <f t="shared" si="2"/>
        <v>2</v>
      </c>
      <c r="G29" s="48">
        <f t="shared" si="4"/>
        <v>46321</v>
      </c>
      <c r="H29" s="48">
        <f t="shared" si="5"/>
        <v>46334</v>
      </c>
      <c r="I29" s="49"/>
      <c r="J29" s="50">
        <v>0.0</v>
      </c>
      <c r="K29" s="46" t="s">
        <v>142</v>
      </c>
      <c r="L29" s="39"/>
      <c r="M29" s="39"/>
      <c r="N29" s="39"/>
      <c r="O29" s="41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45"/>
      <c r="AC29" s="47" t="s">
        <v>89</v>
      </c>
      <c r="AD29" s="52" t="s">
        <v>90</v>
      </c>
    </row>
    <row r="30" ht="30.0" customHeight="1">
      <c r="A30" s="43" t="s">
        <v>145</v>
      </c>
      <c r="B30" s="44" t="s">
        <v>146</v>
      </c>
      <c r="C30" s="45" t="s">
        <v>108</v>
      </c>
      <c r="D30" s="46">
        <v>5.0</v>
      </c>
      <c r="E30" s="46">
        <v>6.0</v>
      </c>
      <c r="F30" s="47">
        <f t="shared" si="2"/>
        <v>2</v>
      </c>
      <c r="G30" s="48">
        <f t="shared" si="4"/>
        <v>46321</v>
      </c>
      <c r="H30" s="48">
        <f t="shared" si="5"/>
        <v>46334</v>
      </c>
      <c r="I30" s="49"/>
      <c r="J30" s="50">
        <v>0.0</v>
      </c>
      <c r="K30" s="46" t="s">
        <v>142</v>
      </c>
      <c r="L30" s="39"/>
      <c r="M30" s="39"/>
      <c r="N30" s="39"/>
      <c r="O30" s="41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5"/>
      <c r="AC30" s="47" t="s">
        <v>89</v>
      </c>
      <c r="AD30" s="52" t="s">
        <v>90</v>
      </c>
    </row>
    <row r="31" ht="15.75" customHeight="1">
      <c r="A31" s="43" t="s">
        <v>147</v>
      </c>
      <c r="B31" s="44" t="s">
        <v>148</v>
      </c>
      <c r="C31" s="45" t="s">
        <v>129</v>
      </c>
      <c r="D31" s="46">
        <v>6.0</v>
      </c>
      <c r="E31" s="46">
        <v>6.0</v>
      </c>
      <c r="F31" s="47">
        <f t="shared" si="2"/>
        <v>1</v>
      </c>
      <c r="G31" s="48">
        <f t="shared" si="4"/>
        <v>46328</v>
      </c>
      <c r="H31" s="48">
        <f t="shared" si="5"/>
        <v>46334</v>
      </c>
      <c r="I31" s="49"/>
      <c r="J31" s="50">
        <v>0.0</v>
      </c>
      <c r="K31" s="46" t="s">
        <v>142</v>
      </c>
      <c r="L31" s="39"/>
      <c r="M31" s="39"/>
      <c r="N31" s="39"/>
      <c r="O31" s="41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5" t="s">
        <v>149</v>
      </c>
      <c r="AC31" s="47" t="s">
        <v>110</v>
      </c>
      <c r="AD31" s="52" t="s">
        <v>90</v>
      </c>
    </row>
    <row r="32" ht="15.75" customHeight="1">
      <c r="A32" s="43" t="s">
        <v>150</v>
      </c>
      <c r="B32" s="44" t="s">
        <v>151</v>
      </c>
      <c r="C32" s="45" t="s">
        <v>115</v>
      </c>
      <c r="D32" s="46">
        <v>6.0</v>
      </c>
      <c r="E32" s="46">
        <v>6.0</v>
      </c>
      <c r="F32" s="47">
        <f t="shared" si="2"/>
        <v>1</v>
      </c>
      <c r="G32" s="48">
        <f t="shared" si="4"/>
        <v>46328</v>
      </c>
      <c r="H32" s="48">
        <f t="shared" si="5"/>
        <v>46334</v>
      </c>
      <c r="I32" s="53">
        <v>0.15</v>
      </c>
      <c r="J32" s="50">
        <v>0.0</v>
      </c>
      <c r="K32" s="46" t="s">
        <v>142</v>
      </c>
      <c r="L32" s="39"/>
      <c r="M32" s="39"/>
      <c r="N32" s="39"/>
      <c r="O32" s="41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45" t="s">
        <v>26</v>
      </c>
      <c r="AC32" s="47" t="s">
        <v>89</v>
      </c>
      <c r="AD32" s="52" t="s">
        <v>90</v>
      </c>
    </row>
    <row r="33" ht="15.75" customHeight="1">
      <c r="A33" s="43" t="s">
        <v>152</v>
      </c>
      <c r="B33" s="44" t="s">
        <v>43</v>
      </c>
      <c r="C33" s="45" t="s">
        <v>101</v>
      </c>
      <c r="D33" s="46">
        <v>6.0</v>
      </c>
      <c r="E33" s="46">
        <v>6.0</v>
      </c>
      <c r="F33" s="47">
        <f t="shared" si="2"/>
        <v>1</v>
      </c>
      <c r="G33" s="48">
        <f t="shared" si="4"/>
        <v>46328</v>
      </c>
      <c r="H33" s="48">
        <f t="shared" si="5"/>
        <v>46334</v>
      </c>
      <c r="I33" s="53">
        <v>0.05</v>
      </c>
      <c r="J33" s="50">
        <v>0.0</v>
      </c>
      <c r="K33" s="46" t="s">
        <v>142</v>
      </c>
      <c r="L33" s="39"/>
      <c r="M33" s="39"/>
      <c r="N33" s="39"/>
      <c r="O33" s="41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5" t="s">
        <v>44</v>
      </c>
      <c r="AC33" s="47" t="s">
        <v>89</v>
      </c>
      <c r="AD33" s="52" t="s">
        <v>90</v>
      </c>
    </row>
    <row r="34" ht="15.75" customHeight="1">
      <c r="A34" s="43" t="s">
        <v>153</v>
      </c>
      <c r="B34" s="44" t="s">
        <v>154</v>
      </c>
      <c r="C34" s="45" t="s">
        <v>101</v>
      </c>
      <c r="D34" s="46">
        <v>6.0</v>
      </c>
      <c r="E34" s="46">
        <v>6.0</v>
      </c>
      <c r="F34" s="47">
        <f t="shared" si="2"/>
        <v>1</v>
      </c>
      <c r="G34" s="48">
        <f t="shared" si="4"/>
        <v>46328</v>
      </c>
      <c r="H34" s="48">
        <f t="shared" si="5"/>
        <v>46334</v>
      </c>
      <c r="I34" s="49"/>
      <c r="J34" s="50">
        <v>0.0</v>
      </c>
      <c r="K34" s="46" t="s">
        <v>142</v>
      </c>
      <c r="L34" s="39"/>
      <c r="M34" s="39"/>
      <c r="N34" s="39"/>
      <c r="O34" s="41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5" t="s">
        <v>155</v>
      </c>
      <c r="AC34" s="47" t="s">
        <v>89</v>
      </c>
      <c r="AD34" s="52" t="s">
        <v>90</v>
      </c>
    </row>
    <row r="35" ht="15.75" customHeight="1">
      <c r="A35" s="31">
        <v>4.0</v>
      </c>
      <c r="B35" s="32" t="s">
        <v>156</v>
      </c>
      <c r="C35" s="33"/>
      <c r="D35" s="34">
        <f>MIN(D36:D42)</f>
        <v>7</v>
      </c>
      <c r="E35" s="34">
        <f>MAX(E36:E42)</f>
        <v>8</v>
      </c>
      <c r="F35" s="34">
        <f t="shared" si="2"/>
        <v>2</v>
      </c>
      <c r="G35" s="36">
        <f t="shared" si="4"/>
        <v>46335</v>
      </c>
      <c r="H35" s="36">
        <f t="shared" si="5"/>
        <v>46348</v>
      </c>
      <c r="I35" s="37">
        <f>SUM(I36:I42)</f>
        <v>0.2</v>
      </c>
      <c r="J35" s="38">
        <f>AVERAGE(J36:J42)</f>
        <v>0</v>
      </c>
      <c r="K35" s="34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3" t="s">
        <v>157</v>
      </c>
      <c r="AC35" s="34"/>
      <c r="AD35" s="42" t="s">
        <v>24</v>
      </c>
    </row>
    <row r="36" ht="30.0" customHeight="1">
      <c r="A36" s="43" t="s">
        <v>158</v>
      </c>
      <c r="B36" s="44" t="s">
        <v>159</v>
      </c>
      <c r="C36" s="45" t="s">
        <v>160</v>
      </c>
      <c r="D36" s="46">
        <v>7.0</v>
      </c>
      <c r="E36" s="46">
        <v>7.0</v>
      </c>
      <c r="F36" s="47">
        <f t="shared" si="2"/>
        <v>1</v>
      </c>
      <c r="G36" s="48">
        <f t="shared" si="4"/>
        <v>46335</v>
      </c>
      <c r="H36" s="48">
        <f t="shared" si="5"/>
        <v>46341</v>
      </c>
      <c r="I36" s="49"/>
      <c r="J36" s="50">
        <v>0.0</v>
      </c>
      <c r="K36" s="46" t="s">
        <v>142</v>
      </c>
      <c r="L36" s="39"/>
      <c r="M36" s="39"/>
      <c r="N36" s="39"/>
      <c r="O36" s="41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45"/>
      <c r="AC36" s="47" t="s">
        <v>110</v>
      </c>
      <c r="AD36" s="52" t="s">
        <v>90</v>
      </c>
    </row>
    <row r="37" ht="30.0" customHeight="1">
      <c r="A37" s="43" t="s">
        <v>161</v>
      </c>
      <c r="B37" s="44" t="s">
        <v>162</v>
      </c>
      <c r="C37" s="45" t="s">
        <v>160</v>
      </c>
      <c r="D37" s="46">
        <v>7.0</v>
      </c>
      <c r="E37" s="46">
        <v>8.0</v>
      </c>
      <c r="F37" s="47">
        <f t="shared" si="2"/>
        <v>2</v>
      </c>
      <c r="G37" s="48">
        <f t="shared" si="4"/>
        <v>46335</v>
      </c>
      <c r="H37" s="48">
        <f t="shared" si="5"/>
        <v>46348</v>
      </c>
      <c r="I37" s="49"/>
      <c r="J37" s="50">
        <v>0.0</v>
      </c>
      <c r="K37" s="46" t="s">
        <v>142</v>
      </c>
      <c r="L37" s="39"/>
      <c r="M37" s="39"/>
      <c r="N37" s="39"/>
      <c r="O37" s="41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45"/>
      <c r="AC37" s="47" t="s">
        <v>89</v>
      </c>
      <c r="AD37" s="52" t="s">
        <v>90</v>
      </c>
    </row>
    <row r="38" ht="30.0" customHeight="1">
      <c r="A38" s="43" t="s">
        <v>163</v>
      </c>
      <c r="B38" s="44" t="s">
        <v>164</v>
      </c>
      <c r="C38" s="45" t="s">
        <v>160</v>
      </c>
      <c r="D38" s="46">
        <v>7.0</v>
      </c>
      <c r="E38" s="46">
        <v>8.0</v>
      </c>
      <c r="F38" s="47">
        <f t="shared" si="2"/>
        <v>2</v>
      </c>
      <c r="G38" s="48">
        <f t="shared" si="4"/>
        <v>46335</v>
      </c>
      <c r="H38" s="48">
        <f t="shared" si="5"/>
        <v>46348</v>
      </c>
      <c r="I38" s="49"/>
      <c r="J38" s="50">
        <v>0.0</v>
      </c>
      <c r="K38" s="46" t="s">
        <v>142</v>
      </c>
      <c r="L38" s="39"/>
      <c r="M38" s="39"/>
      <c r="N38" s="39"/>
      <c r="O38" s="41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5"/>
      <c r="AC38" s="47" t="s">
        <v>89</v>
      </c>
      <c r="AD38" s="52" t="s">
        <v>90</v>
      </c>
    </row>
    <row r="39" ht="15.75" customHeight="1">
      <c r="A39" s="43" t="s">
        <v>165</v>
      </c>
      <c r="B39" s="44" t="s">
        <v>166</v>
      </c>
      <c r="C39" s="45" t="s">
        <v>167</v>
      </c>
      <c r="D39" s="46">
        <v>8.0</v>
      </c>
      <c r="E39" s="46">
        <v>8.0</v>
      </c>
      <c r="F39" s="47">
        <f t="shared" si="2"/>
        <v>1</v>
      </c>
      <c r="G39" s="48">
        <f t="shared" si="4"/>
        <v>46342</v>
      </c>
      <c r="H39" s="48">
        <f t="shared" si="5"/>
        <v>46348</v>
      </c>
      <c r="I39" s="49"/>
      <c r="J39" s="50">
        <v>0.0</v>
      </c>
      <c r="K39" s="46" t="s">
        <v>142</v>
      </c>
      <c r="L39" s="39"/>
      <c r="M39" s="39"/>
      <c r="N39" s="39"/>
      <c r="O39" s="41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5"/>
      <c r="AC39" s="47" t="s">
        <v>110</v>
      </c>
      <c r="AD39" s="52" t="s">
        <v>90</v>
      </c>
    </row>
    <row r="40" ht="15.75" customHeight="1">
      <c r="A40" s="43" t="s">
        <v>168</v>
      </c>
      <c r="B40" s="44" t="s">
        <v>169</v>
      </c>
      <c r="C40" s="45" t="s">
        <v>170</v>
      </c>
      <c r="D40" s="46">
        <v>8.0</v>
      </c>
      <c r="E40" s="46">
        <v>8.0</v>
      </c>
      <c r="F40" s="47">
        <f t="shared" si="2"/>
        <v>1</v>
      </c>
      <c r="G40" s="48">
        <f t="shared" si="4"/>
        <v>46342</v>
      </c>
      <c r="H40" s="48">
        <f t="shared" si="5"/>
        <v>46348</v>
      </c>
      <c r="I40" s="53">
        <v>0.15</v>
      </c>
      <c r="J40" s="50">
        <v>0.0</v>
      </c>
      <c r="K40" s="46" t="s">
        <v>142</v>
      </c>
      <c r="L40" s="39"/>
      <c r="M40" s="39"/>
      <c r="N40" s="39"/>
      <c r="O40" s="41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5" t="s">
        <v>26</v>
      </c>
      <c r="AC40" s="47" t="s">
        <v>89</v>
      </c>
      <c r="AD40" s="52" t="s">
        <v>90</v>
      </c>
    </row>
    <row r="41" ht="15.75" customHeight="1">
      <c r="A41" s="43" t="s">
        <v>171</v>
      </c>
      <c r="B41" s="44" t="s">
        <v>48</v>
      </c>
      <c r="C41" s="45" t="s">
        <v>101</v>
      </c>
      <c r="D41" s="46">
        <v>8.0</v>
      </c>
      <c r="E41" s="46">
        <v>8.0</v>
      </c>
      <c r="F41" s="47">
        <f t="shared" si="2"/>
        <v>1</v>
      </c>
      <c r="G41" s="48">
        <f t="shared" si="4"/>
        <v>46342</v>
      </c>
      <c r="H41" s="48">
        <f t="shared" si="5"/>
        <v>46348</v>
      </c>
      <c r="I41" s="53">
        <v>0.05</v>
      </c>
      <c r="J41" s="50">
        <v>0.0</v>
      </c>
      <c r="K41" s="46" t="s">
        <v>142</v>
      </c>
      <c r="L41" s="39"/>
      <c r="M41" s="39"/>
      <c r="N41" s="39"/>
      <c r="O41" s="41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5" t="s">
        <v>44</v>
      </c>
      <c r="AC41" s="47" t="s">
        <v>89</v>
      </c>
      <c r="AD41" s="52" t="s">
        <v>90</v>
      </c>
    </row>
    <row r="42" ht="15.75" customHeight="1">
      <c r="A42" s="43" t="s">
        <v>172</v>
      </c>
      <c r="B42" s="44" t="s">
        <v>173</v>
      </c>
      <c r="C42" s="45" t="s">
        <v>101</v>
      </c>
      <c r="D42" s="46">
        <v>8.0</v>
      </c>
      <c r="E42" s="46">
        <v>8.0</v>
      </c>
      <c r="F42" s="47">
        <f t="shared" si="2"/>
        <v>1</v>
      </c>
      <c r="G42" s="48">
        <f t="shared" si="4"/>
        <v>46342</v>
      </c>
      <c r="H42" s="48">
        <f t="shared" si="5"/>
        <v>46348</v>
      </c>
      <c r="I42" s="49"/>
      <c r="J42" s="50">
        <v>0.0</v>
      </c>
      <c r="K42" s="46" t="s">
        <v>142</v>
      </c>
      <c r="L42" s="39"/>
      <c r="M42" s="39"/>
      <c r="N42" s="39"/>
      <c r="O42" s="41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5" t="s">
        <v>155</v>
      </c>
      <c r="AC42" s="47" t="s">
        <v>89</v>
      </c>
      <c r="AD42" s="52" t="s">
        <v>90</v>
      </c>
    </row>
    <row r="43" ht="15.75" customHeight="1">
      <c r="A43" s="31">
        <v>5.0</v>
      </c>
      <c r="B43" s="32" t="s">
        <v>174</v>
      </c>
      <c r="C43" s="33"/>
      <c r="D43" s="34">
        <f>MIN(D44:D50)</f>
        <v>9</v>
      </c>
      <c r="E43" s="34">
        <f>MAX(E44:E50)</f>
        <v>12</v>
      </c>
      <c r="F43" s="34">
        <f t="shared" si="2"/>
        <v>4</v>
      </c>
      <c r="G43" s="36">
        <f t="shared" si="4"/>
        <v>46349</v>
      </c>
      <c r="H43" s="36">
        <f t="shared" si="5"/>
        <v>46376</v>
      </c>
      <c r="I43" s="37">
        <f>SUM(I44:I50)</f>
        <v>0.15</v>
      </c>
      <c r="J43" s="38">
        <f>AVERAGE(J44:J50)</f>
        <v>0</v>
      </c>
      <c r="K43" s="34"/>
      <c r="L43" s="39"/>
      <c r="M43" s="39"/>
      <c r="N43" s="39"/>
      <c r="O43" s="41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3" t="s">
        <v>175</v>
      </c>
      <c r="AC43" s="34"/>
      <c r="AD43" s="42" t="s">
        <v>24</v>
      </c>
    </row>
    <row r="44" ht="30.0" customHeight="1">
      <c r="A44" s="43" t="s">
        <v>176</v>
      </c>
      <c r="B44" s="44" t="s">
        <v>177</v>
      </c>
      <c r="C44" s="45" t="s">
        <v>167</v>
      </c>
      <c r="D44" s="46">
        <v>9.0</v>
      </c>
      <c r="E44" s="46">
        <v>9.0</v>
      </c>
      <c r="F44" s="47">
        <f t="shared" si="2"/>
        <v>1</v>
      </c>
      <c r="G44" s="48">
        <f t="shared" si="4"/>
        <v>46349</v>
      </c>
      <c r="H44" s="48">
        <f t="shared" si="5"/>
        <v>46355</v>
      </c>
      <c r="I44" s="49"/>
      <c r="J44" s="50">
        <v>0.0</v>
      </c>
      <c r="K44" s="46" t="s">
        <v>142</v>
      </c>
      <c r="L44" s="39"/>
      <c r="M44" s="39"/>
      <c r="N44" s="39"/>
      <c r="O44" s="41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5"/>
      <c r="AC44" s="47" t="s">
        <v>89</v>
      </c>
      <c r="AD44" s="52" t="s">
        <v>90</v>
      </c>
    </row>
    <row r="45" ht="30.0" customHeight="1">
      <c r="A45" s="43" t="s">
        <v>178</v>
      </c>
      <c r="B45" s="44" t="s">
        <v>179</v>
      </c>
      <c r="C45" s="45" t="s">
        <v>167</v>
      </c>
      <c r="D45" s="46">
        <v>10.0</v>
      </c>
      <c r="E45" s="46">
        <v>10.0</v>
      </c>
      <c r="F45" s="47">
        <f t="shared" si="2"/>
        <v>1</v>
      </c>
      <c r="G45" s="48">
        <f t="shared" si="4"/>
        <v>46356</v>
      </c>
      <c r="H45" s="48">
        <f t="shared" si="5"/>
        <v>46362</v>
      </c>
      <c r="I45" s="49"/>
      <c r="J45" s="50">
        <v>0.0</v>
      </c>
      <c r="K45" s="46" t="s">
        <v>142</v>
      </c>
      <c r="L45" s="39"/>
      <c r="M45" s="39"/>
      <c r="N45" s="39"/>
      <c r="O45" s="41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5"/>
      <c r="AC45" s="47" t="s">
        <v>89</v>
      </c>
      <c r="AD45" s="52" t="s">
        <v>90</v>
      </c>
    </row>
    <row r="46" ht="15.75" customHeight="1">
      <c r="A46" s="43" t="s">
        <v>180</v>
      </c>
      <c r="B46" s="44" t="s">
        <v>181</v>
      </c>
      <c r="C46" s="45" t="s">
        <v>167</v>
      </c>
      <c r="D46" s="46">
        <v>10.0</v>
      </c>
      <c r="E46" s="46">
        <v>10.0</v>
      </c>
      <c r="F46" s="47">
        <f t="shared" si="2"/>
        <v>1</v>
      </c>
      <c r="G46" s="48">
        <f t="shared" si="4"/>
        <v>46356</v>
      </c>
      <c r="H46" s="48">
        <f t="shared" si="5"/>
        <v>46362</v>
      </c>
      <c r="I46" s="49"/>
      <c r="J46" s="50">
        <v>0.0</v>
      </c>
      <c r="K46" s="46" t="s">
        <v>142</v>
      </c>
      <c r="L46" s="39"/>
      <c r="M46" s="39"/>
      <c r="N46" s="39"/>
      <c r="O46" s="41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5"/>
      <c r="AC46" s="47" t="s">
        <v>110</v>
      </c>
      <c r="AD46" s="52" t="s">
        <v>90</v>
      </c>
    </row>
    <row r="47" ht="15.75" customHeight="1">
      <c r="A47" s="43" t="s">
        <v>182</v>
      </c>
      <c r="B47" s="44" t="s">
        <v>183</v>
      </c>
      <c r="C47" s="45" t="s">
        <v>167</v>
      </c>
      <c r="D47" s="46">
        <v>11.0</v>
      </c>
      <c r="E47" s="46">
        <v>11.0</v>
      </c>
      <c r="F47" s="47">
        <f t="shared" si="2"/>
        <v>1</v>
      </c>
      <c r="G47" s="48">
        <f t="shared" si="4"/>
        <v>46363</v>
      </c>
      <c r="H47" s="48">
        <f t="shared" si="5"/>
        <v>46369</v>
      </c>
      <c r="I47" s="49"/>
      <c r="J47" s="50">
        <v>0.0</v>
      </c>
      <c r="K47" s="46" t="s">
        <v>142</v>
      </c>
      <c r="L47" s="39"/>
      <c r="M47" s="39"/>
      <c r="N47" s="39"/>
      <c r="O47" s="41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5" t="s">
        <v>184</v>
      </c>
      <c r="AC47" s="47" t="s">
        <v>89</v>
      </c>
      <c r="AD47" s="52" t="s">
        <v>90</v>
      </c>
    </row>
    <row r="48" ht="30.0" customHeight="1">
      <c r="A48" s="43" t="s">
        <v>185</v>
      </c>
      <c r="B48" s="44" t="s">
        <v>186</v>
      </c>
      <c r="C48" s="45" t="s">
        <v>167</v>
      </c>
      <c r="D48" s="46">
        <v>12.0</v>
      </c>
      <c r="E48" s="46">
        <v>12.0</v>
      </c>
      <c r="F48" s="47">
        <f t="shared" si="2"/>
        <v>1</v>
      </c>
      <c r="G48" s="48">
        <f t="shared" si="4"/>
        <v>46370</v>
      </c>
      <c r="H48" s="48">
        <f t="shared" si="5"/>
        <v>46376</v>
      </c>
      <c r="I48" s="49"/>
      <c r="J48" s="50">
        <v>0.0</v>
      </c>
      <c r="K48" s="46" t="s">
        <v>142</v>
      </c>
      <c r="L48" s="39"/>
      <c r="M48" s="39"/>
      <c r="N48" s="39"/>
      <c r="O48" s="41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45"/>
      <c r="AC48" s="47" t="s">
        <v>89</v>
      </c>
      <c r="AD48" s="52" t="s">
        <v>90</v>
      </c>
    </row>
    <row r="49" ht="15.75" customHeight="1">
      <c r="A49" s="43" t="s">
        <v>187</v>
      </c>
      <c r="B49" s="44" t="s">
        <v>188</v>
      </c>
      <c r="C49" s="45" t="s">
        <v>86</v>
      </c>
      <c r="D49" s="46">
        <v>9.0</v>
      </c>
      <c r="E49" s="46">
        <v>12.0</v>
      </c>
      <c r="F49" s="47">
        <f t="shared" si="2"/>
        <v>4</v>
      </c>
      <c r="G49" s="48">
        <f t="shared" si="4"/>
        <v>46349</v>
      </c>
      <c r="H49" s="48">
        <f t="shared" si="5"/>
        <v>46376</v>
      </c>
      <c r="I49" s="49"/>
      <c r="J49" s="50">
        <v>0.0</v>
      </c>
      <c r="K49" s="46" t="s">
        <v>142</v>
      </c>
      <c r="L49" s="39"/>
      <c r="M49" s="39"/>
      <c r="N49" s="39"/>
      <c r="O49" s="41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5" t="s">
        <v>189</v>
      </c>
      <c r="AC49" s="47" t="s">
        <v>89</v>
      </c>
      <c r="AD49" s="52" t="s">
        <v>90</v>
      </c>
    </row>
    <row r="50" ht="15.75" customHeight="1">
      <c r="A50" s="43" t="s">
        <v>190</v>
      </c>
      <c r="B50" s="44" t="s">
        <v>191</v>
      </c>
      <c r="C50" s="45" t="s">
        <v>192</v>
      </c>
      <c r="D50" s="46">
        <v>12.0</v>
      </c>
      <c r="E50" s="46">
        <v>12.0</v>
      </c>
      <c r="F50" s="47">
        <f t="shared" si="2"/>
        <v>1</v>
      </c>
      <c r="G50" s="48">
        <f t="shared" si="4"/>
        <v>46370</v>
      </c>
      <c r="H50" s="48">
        <f t="shared" si="5"/>
        <v>46376</v>
      </c>
      <c r="I50" s="53">
        <v>0.15</v>
      </c>
      <c r="J50" s="50">
        <v>0.0</v>
      </c>
      <c r="K50" s="46" t="s">
        <v>142</v>
      </c>
      <c r="L50" s="39"/>
      <c r="M50" s="39"/>
      <c r="N50" s="39"/>
      <c r="O50" s="41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5" t="s">
        <v>193</v>
      </c>
      <c r="AC50" s="47" t="s">
        <v>89</v>
      </c>
      <c r="AD50" s="52" t="s">
        <v>90</v>
      </c>
    </row>
    <row r="51" ht="15.75" customHeight="1">
      <c r="A51" s="31">
        <v>6.0</v>
      </c>
      <c r="B51" s="32" t="s">
        <v>194</v>
      </c>
      <c r="C51" s="33"/>
      <c r="D51" s="34">
        <f>MIN(D52:D58)</f>
        <v>13</v>
      </c>
      <c r="E51" s="34">
        <f>MAX(E52:E58)</f>
        <v>13</v>
      </c>
      <c r="F51" s="34">
        <f t="shared" si="2"/>
        <v>1</v>
      </c>
      <c r="G51" s="36">
        <f t="shared" si="4"/>
        <v>46377</v>
      </c>
      <c r="H51" s="36">
        <f t="shared" si="5"/>
        <v>46383</v>
      </c>
      <c r="I51" s="37">
        <f>SUM(I52:I58)</f>
        <v>0.1</v>
      </c>
      <c r="J51" s="38">
        <f>AVERAGE(J52:J58)</f>
        <v>0</v>
      </c>
      <c r="K51" s="34"/>
      <c r="L51" s="39"/>
      <c r="M51" s="39"/>
      <c r="N51" s="39"/>
      <c r="O51" s="41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3" t="s">
        <v>195</v>
      </c>
      <c r="AC51" s="34"/>
      <c r="AD51" s="42" t="s">
        <v>24</v>
      </c>
    </row>
    <row r="52" ht="30.0" customHeight="1">
      <c r="A52" s="43" t="s">
        <v>196</v>
      </c>
      <c r="B52" s="44" t="s">
        <v>197</v>
      </c>
      <c r="C52" s="45" t="s">
        <v>198</v>
      </c>
      <c r="D52" s="46">
        <v>13.0</v>
      </c>
      <c r="E52" s="46">
        <v>13.0</v>
      </c>
      <c r="F52" s="47">
        <f t="shared" si="2"/>
        <v>1</v>
      </c>
      <c r="G52" s="48">
        <f t="shared" si="4"/>
        <v>46377</v>
      </c>
      <c r="H52" s="48">
        <f t="shared" si="5"/>
        <v>46383</v>
      </c>
      <c r="I52" s="49"/>
      <c r="J52" s="50">
        <v>0.0</v>
      </c>
      <c r="K52" s="46" t="s">
        <v>142</v>
      </c>
      <c r="L52" s="39"/>
      <c r="M52" s="39"/>
      <c r="N52" s="39"/>
      <c r="O52" s="41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5"/>
      <c r="AC52" s="47" t="s">
        <v>89</v>
      </c>
      <c r="AD52" s="52" t="s">
        <v>90</v>
      </c>
    </row>
    <row r="53" ht="15.75" customHeight="1">
      <c r="A53" s="43" t="s">
        <v>199</v>
      </c>
      <c r="B53" s="44" t="s">
        <v>200</v>
      </c>
      <c r="C53" s="45" t="s">
        <v>201</v>
      </c>
      <c r="D53" s="46">
        <v>13.0</v>
      </c>
      <c r="E53" s="46">
        <v>13.0</v>
      </c>
      <c r="F53" s="47">
        <f t="shared" si="2"/>
        <v>1</v>
      </c>
      <c r="G53" s="48">
        <f t="shared" si="4"/>
        <v>46377</v>
      </c>
      <c r="H53" s="48">
        <f t="shared" si="5"/>
        <v>46383</v>
      </c>
      <c r="I53" s="49"/>
      <c r="J53" s="50">
        <v>0.0</v>
      </c>
      <c r="K53" s="46" t="s">
        <v>142</v>
      </c>
      <c r="L53" s="39"/>
      <c r="M53" s="39"/>
      <c r="N53" s="39"/>
      <c r="O53" s="41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45"/>
      <c r="AC53" s="47" t="s">
        <v>89</v>
      </c>
      <c r="AD53" s="52" t="s">
        <v>90</v>
      </c>
    </row>
    <row r="54" ht="30.0" customHeight="1">
      <c r="A54" s="43" t="s">
        <v>202</v>
      </c>
      <c r="B54" s="44" t="s">
        <v>203</v>
      </c>
      <c r="C54" s="45" t="s">
        <v>198</v>
      </c>
      <c r="D54" s="46">
        <v>13.0</v>
      </c>
      <c r="E54" s="46">
        <v>13.0</v>
      </c>
      <c r="F54" s="47">
        <f t="shared" si="2"/>
        <v>1</v>
      </c>
      <c r="G54" s="48">
        <f t="shared" si="4"/>
        <v>46377</v>
      </c>
      <c r="H54" s="48">
        <f t="shared" si="5"/>
        <v>46383</v>
      </c>
      <c r="I54" s="49"/>
      <c r="J54" s="50">
        <v>0.0</v>
      </c>
      <c r="K54" s="46" t="s">
        <v>142</v>
      </c>
      <c r="L54" s="39"/>
      <c r="M54" s="39"/>
      <c r="N54" s="39"/>
      <c r="O54" s="41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45"/>
      <c r="AC54" s="47" t="s">
        <v>89</v>
      </c>
      <c r="AD54" s="52" t="s">
        <v>90</v>
      </c>
    </row>
    <row r="55" ht="15.75" customHeight="1">
      <c r="A55" s="43" t="s">
        <v>204</v>
      </c>
      <c r="B55" s="44" t="s">
        <v>205</v>
      </c>
      <c r="C55" s="45" t="s">
        <v>206</v>
      </c>
      <c r="D55" s="46">
        <v>13.0</v>
      </c>
      <c r="E55" s="46">
        <v>13.0</v>
      </c>
      <c r="F55" s="47">
        <f t="shared" si="2"/>
        <v>1</v>
      </c>
      <c r="G55" s="48">
        <f t="shared" si="4"/>
        <v>46377</v>
      </c>
      <c r="H55" s="48">
        <f t="shared" si="5"/>
        <v>46383</v>
      </c>
      <c r="I55" s="49"/>
      <c r="J55" s="50">
        <v>0.0</v>
      </c>
      <c r="K55" s="46" t="s">
        <v>142</v>
      </c>
      <c r="L55" s="39"/>
      <c r="M55" s="39"/>
      <c r="N55" s="39"/>
      <c r="O55" s="41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5" t="s">
        <v>207</v>
      </c>
      <c r="AC55" s="47" t="s">
        <v>89</v>
      </c>
      <c r="AD55" s="52" t="s">
        <v>90</v>
      </c>
    </row>
    <row r="56" ht="15.75" customHeight="1">
      <c r="A56" s="43" t="s">
        <v>208</v>
      </c>
      <c r="B56" s="44" t="s">
        <v>209</v>
      </c>
      <c r="C56" s="45" t="s">
        <v>198</v>
      </c>
      <c r="D56" s="46">
        <v>13.0</v>
      </c>
      <c r="E56" s="46">
        <v>13.0</v>
      </c>
      <c r="F56" s="47">
        <f t="shared" si="2"/>
        <v>1</v>
      </c>
      <c r="G56" s="48">
        <f t="shared" si="4"/>
        <v>46377</v>
      </c>
      <c r="H56" s="48">
        <f t="shared" si="5"/>
        <v>46383</v>
      </c>
      <c r="I56" s="53">
        <v>0.05</v>
      </c>
      <c r="J56" s="50">
        <v>0.0</v>
      </c>
      <c r="K56" s="46" t="s">
        <v>142</v>
      </c>
      <c r="L56" s="39"/>
      <c r="M56" s="39"/>
      <c r="N56" s="39"/>
      <c r="O56" s="41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5" t="s">
        <v>26</v>
      </c>
      <c r="AC56" s="47" t="s">
        <v>89</v>
      </c>
      <c r="AD56" s="52" t="s">
        <v>90</v>
      </c>
    </row>
    <row r="57" ht="15.75" customHeight="1">
      <c r="A57" s="43" t="s">
        <v>210</v>
      </c>
      <c r="B57" s="44" t="s">
        <v>55</v>
      </c>
      <c r="C57" s="45" t="s">
        <v>101</v>
      </c>
      <c r="D57" s="46">
        <v>13.0</v>
      </c>
      <c r="E57" s="46">
        <v>13.0</v>
      </c>
      <c r="F57" s="47">
        <f t="shared" si="2"/>
        <v>1</v>
      </c>
      <c r="G57" s="48">
        <f t="shared" si="4"/>
        <v>46377</v>
      </c>
      <c r="H57" s="48">
        <f t="shared" si="5"/>
        <v>46383</v>
      </c>
      <c r="I57" s="53">
        <v>0.05</v>
      </c>
      <c r="J57" s="50">
        <v>0.0</v>
      </c>
      <c r="K57" s="46" t="s">
        <v>142</v>
      </c>
      <c r="L57" s="39"/>
      <c r="M57" s="39"/>
      <c r="N57" s="39"/>
      <c r="O57" s="41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5" t="s">
        <v>44</v>
      </c>
      <c r="AC57" s="47" t="s">
        <v>89</v>
      </c>
      <c r="AD57" s="52" t="s">
        <v>90</v>
      </c>
    </row>
    <row r="58" ht="15.75" customHeight="1">
      <c r="A58" s="43" t="s">
        <v>211</v>
      </c>
      <c r="B58" s="44" t="s">
        <v>212</v>
      </c>
      <c r="C58" s="45" t="s">
        <v>101</v>
      </c>
      <c r="D58" s="46">
        <v>13.0</v>
      </c>
      <c r="E58" s="46">
        <v>13.0</v>
      </c>
      <c r="F58" s="47">
        <f t="shared" si="2"/>
        <v>1</v>
      </c>
      <c r="G58" s="48">
        <f t="shared" si="4"/>
        <v>46377</v>
      </c>
      <c r="H58" s="48">
        <f t="shared" si="5"/>
        <v>46383</v>
      </c>
      <c r="I58" s="49"/>
      <c r="J58" s="50">
        <v>0.0</v>
      </c>
      <c r="K58" s="46" t="s">
        <v>142</v>
      </c>
      <c r="L58" s="39"/>
      <c r="M58" s="39"/>
      <c r="N58" s="39"/>
      <c r="O58" s="41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45" t="s">
        <v>155</v>
      </c>
      <c r="AC58" s="47" t="s">
        <v>89</v>
      </c>
      <c r="AD58" s="52" t="s">
        <v>90</v>
      </c>
    </row>
    <row r="59" ht="15.75" customHeight="1">
      <c r="A59" s="31">
        <v>7.0</v>
      </c>
      <c r="B59" s="32" t="s">
        <v>213</v>
      </c>
      <c r="C59" s="33"/>
      <c r="D59" s="34">
        <f>MIN(D60:D66)</f>
        <v>14</v>
      </c>
      <c r="E59" s="34">
        <f>MAX(E60:E66)</f>
        <v>15</v>
      </c>
      <c r="F59" s="34">
        <f t="shared" si="2"/>
        <v>2</v>
      </c>
      <c r="G59" s="36">
        <f t="shared" si="4"/>
        <v>46384</v>
      </c>
      <c r="H59" s="36">
        <f t="shared" si="5"/>
        <v>46397</v>
      </c>
      <c r="I59" s="37">
        <f>SUM(I60:I66)</f>
        <v>0.1</v>
      </c>
      <c r="J59" s="38">
        <f>AVERAGE(J60:J66)</f>
        <v>0</v>
      </c>
      <c r="K59" s="34"/>
      <c r="L59" s="39"/>
      <c r="M59" s="39"/>
      <c r="N59" s="39"/>
      <c r="O59" s="41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3" t="s">
        <v>214</v>
      </c>
      <c r="AC59" s="34"/>
      <c r="AD59" s="42" t="s">
        <v>24</v>
      </c>
    </row>
    <row r="60" ht="15.75" customHeight="1">
      <c r="A60" s="43" t="s">
        <v>215</v>
      </c>
      <c r="B60" s="44" t="s">
        <v>216</v>
      </c>
      <c r="C60" s="45" t="s">
        <v>217</v>
      </c>
      <c r="D60" s="46">
        <v>14.0</v>
      </c>
      <c r="E60" s="46">
        <v>14.0</v>
      </c>
      <c r="F60" s="47">
        <f t="shared" si="2"/>
        <v>1</v>
      </c>
      <c r="G60" s="48">
        <f t="shared" si="4"/>
        <v>46384</v>
      </c>
      <c r="H60" s="48">
        <f t="shared" si="5"/>
        <v>46390</v>
      </c>
      <c r="I60" s="49"/>
      <c r="J60" s="50">
        <v>0.0</v>
      </c>
      <c r="K60" s="46" t="s">
        <v>142</v>
      </c>
      <c r="L60" s="39"/>
      <c r="M60" s="39"/>
      <c r="N60" s="39"/>
      <c r="O60" s="41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45"/>
      <c r="AC60" s="47" t="s">
        <v>110</v>
      </c>
      <c r="AD60" s="52" t="s">
        <v>90</v>
      </c>
    </row>
    <row r="61" ht="15.75" customHeight="1">
      <c r="A61" s="43" t="s">
        <v>218</v>
      </c>
      <c r="B61" s="44" t="s">
        <v>219</v>
      </c>
      <c r="C61" s="45" t="s">
        <v>167</v>
      </c>
      <c r="D61" s="46">
        <v>14.0</v>
      </c>
      <c r="E61" s="46">
        <v>14.0</v>
      </c>
      <c r="F61" s="47">
        <f t="shared" si="2"/>
        <v>1</v>
      </c>
      <c r="G61" s="48">
        <f t="shared" si="4"/>
        <v>46384</v>
      </c>
      <c r="H61" s="48">
        <f t="shared" si="5"/>
        <v>46390</v>
      </c>
      <c r="I61" s="49"/>
      <c r="J61" s="50">
        <v>0.0</v>
      </c>
      <c r="K61" s="46" t="s">
        <v>142</v>
      </c>
      <c r="L61" s="39"/>
      <c r="M61" s="39"/>
      <c r="N61" s="39"/>
      <c r="O61" s="41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45"/>
      <c r="AC61" s="47" t="s">
        <v>110</v>
      </c>
      <c r="AD61" s="52" t="s">
        <v>90</v>
      </c>
    </row>
    <row r="62" ht="30.0" customHeight="1">
      <c r="A62" s="43" t="s">
        <v>220</v>
      </c>
      <c r="B62" s="44" t="s">
        <v>221</v>
      </c>
      <c r="C62" s="45" t="s">
        <v>222</v>
      </c>
      <c r="D62" s="46">
        <v>14.0</v>
      </c>
      <c r="E62" s="46">
        <v>15.0</v>
      </c>
      <c r="F62" s="47">
        <f t="shared" si="2"/>
        <v>2</v>
      </c>
      <c r="G62" s="48">
        <f t="shared" si="4"/>
        <v>46384</v>
      </c>
      <c r="H62" s="48">
        <f t="shared" si="5"/>
        <v>46397</v>
      </c>
      <c r="I62" s="49"/>
      <c r="J62" s="50">
        <v>0.0</v>
      </c>
      <c r="K62" s="46" t="s">
        <v>142</v>
      </c>
      <c r="L62" s="39"/>
      <c r="M62" s="39"/>
      <c r="N62" s="39"/>
      <c r="O62" s="41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45" t="s">
        <v>223</v>
      </c>
      <c r="AC62" s="47" t="s">
        <v>89</v>
      </c>
      <c r="AD62" s="52" t="s">
        <v>90</v>
      </c>
    </row>
    <row r="63" ht="15.75" customHeight="1">
      <c r="A63" s="43" t="s">
        <v>224</v>
      </c>
      <c r="B63" s="44" t="s">
        <v>225</v>
      </c>
      <c r="C63" s="45" t="s">
        <v>86</v>
      </c>
      <c r="D63" s="46">
        <v>15.0</v>
      </c>
      <c r="E63" s="46">
        <v>15.0</v>
      </c>
      <c r="F63" s="47">
        <f t="shared" si="2"/>
        <v>1</v>
      </c>
      <c r="G63" s="48">
        <f t="shared" si="4"/>
        <v>46391</v>
      </c>
      <c r="H63" s="48">
        <f t="shared" si="5"/>
        <v>46397</v>
      </c>
      <c r="I63" s="49"/>
      <c r="J63" s="50">
        <v>0.0</v>
      </c>
      <c r="K63" s="46" t="s">
        <v>142</v>
      </c>
      <c r="L63" s="39"/>
      <c r="M63" s="39"/>
      <c r="N63" s="39"/>
      <c r="O63" s="41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45" t="s">
        <v>226</v>
      </c>
      <c r="AC63" s="47" t="s">
        <v>89</v>
      </c>
      <c r="AD63" s="52" t="s">
        <v>90</v>
      </c>
    </row>
    <row r="64" ht="15.75" customHeight="1">
      <c r="A64" s="43" t="s">
        <v>227</v>
      </c>
      <c r="B64" s="44" t="s">
        <v>228</v>
      </c>
      <c r="C64" s="45" t="s">
        <v>104</v>
      </c>
      <c r="D64" s="46">
        <v>14.0</v>
      </c>
      <c r="E64" s="46">
        <v>14.0</v>
      </c>
      <c r="F64" s="47">
        <f t="shared" si="2"/>
        <v>1</v>
      </c>
      <c r="G64" s="48">
        <f t="shared" si="4"/>
        <v>46384</v>
      </c>
      <c r="H64" s="48">
        <f t="shared" si="5"/>
        <v>46390</v>
      </c>
      <c r="I64" s="53">
        <v>0.05</v>
      </c>
      <c r="J64" s="50">
        <v>0.0</v>
      </c>
      <c r="K64" s="46" t="s">
        <v>142</v>
      </c>
      <c r="L64" s="39"/>
      <c r="M64" s="39"/>
      <c r="N64" s="39"/>
      <c r="O64" s="41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45" t="s">
        <v>229</v>
      </c>
      <c r="AC64" s="47" t="s">
        <v>89</v>
      </c>
      <c r="AD64" s="52" t="s">
        <v>90</v>
      </c>
    </row>
    <row r="65" ht="15.75" customHeight="1">
      <c r="A65" s="43" t="s">
        <v>230</v>
      </c>
      <c r="B65" s="44" t="s">
        <v>231</v>
      </c>
      <c r="C65" s="45" t="s">
        <v>136</v>
      </c>
      <c r="D65" s="46">
        <v>15.0</v>
      </c>
      <c r="E65" s="46">
        <v>15.0</v>
      </c>
      <c r="F65" s="47">
        <f t="shared" si="2"/>
        <v>1</v>
      </c>
      <c r="G65" s="48">
        <f t="shared" si="4"/>
        <v>46391</v>
      </c>
      <c r="H65" s="48">
        <f t="shared" si="5"/>
        <v>46397</v>
      </c>
      <c r="I65" s="49"/>
      <c r="J65" s="50">
        <v>0.0</v>
      </c>
      <c r="K65" s="46" t="s">
        <v>142</v>
      </c>
      <c r="L65" s="39"/>
      <c r="M65" s="39"/>
      <c r="N65" s="39"/>
      <c r="O65" s="41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45"/>
      <c r="AC65" s="47" t="s">
        <v>89</v>
      </c>
      <c r="AD65" s="52" t="s">
        <v>90</v>
      </c>
    </row>
    <row r="66" ht="15.75" customHeight="1">
      <c r="A66" s="43" t="s">
        <v>232</v>
      </c>
      <c r="B66" s="44" t="s">
        <v>233</v>
      </c>
      <c r="C66" s="45" t="s">
        <v>101</v>
      </c>
      <c r="D66" s="46">
        <v>15.0</v>
      </c>
      <c r="E66" s="46">
        <v>15.0</v>
      </c>
      <c r="F66" s="47">
        <f t="shared" si="2"/>
        <v>1</v>
      </c>
      <c r="G66" s="48">
        <f t="shared" si="4"/>
        <v>46391</v>
      </c>
      <c r="H66" s="48">
        <f t="shared" si="5"/>
        <v>46397</v>
      </c>
      <c r="I66" s="53">
        <v>0.05</v>
      </c>
      <c r="J66" s="50">
        <v>0.0</v>
      </c>
      <c r="K66" s="46" t="s">
        <v>142</v>
      </c>
      <c r="L66" s="39"/>
      <c r="M66" s="39"/>
      <c r="N66" s="39"/>
      <c r="O66" s="41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45" t="s">
        <v>26</v>
      </c>
      <c r="AC66" s="47" t="s">
        <v>89</v>
      </c>
      <c r="AD66" s="52" t="s">
        <v>90</v>
      </c>
    </row>
    <row r="67" ht="15.75" customHeight="1">
      <c r="A67" s="55"/>
      <c r="B67" s="32" t="s">
        <v>234</v>
      </c>
      <c r="C67" s="33"/>
      <c r="D67" s="34"/>
      <c r="E67" s="34"/>
      <c r="F67" s="34"/>
      <c r="G67" s="36"/>
      <c r="H67" s="36"/>
      <c r="I67" s="37"/>
      <c r="J67" s="38"/>
      <c r="K67" s="34"/>
      <c r="L67" s="39"/>
      <c r="M67" s="39"/>
      <c r="N67" s="39"/>
      <c r="O67" s="41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3"/>
      <c r="AC67" s="34"/>
      <c r="AD67" s="42" t="s">
        <v>235</v>
      </c>
    </row>
    <row r="68" ht="15.75" customHeight="1">
      <c r="A68" s="43" t="s">
        <v>236</v>
      </c>
      <c r="B68" s="44" t="s">
        <v>237</v>
      </c>
      <c r="C68" s="45" t="s">
        <v>101</v>
      </c>
      <c r="D68" s="46">
        <v>11.0</v>
      </c>
      <c r="E68" s="46">
        <v>11.0</v>
      </c>
      <c r="F68" s="47">
        <f t="shared" ref="F68:F69" si="6">E68-D68+1</f>
        <v>1</v>
      </c>
      <c r="G68" s="48">
        <f t="shared" ref="G68:G69" si="7">$C$3+7*(D68-1)</f>
        <v>46363</v>
      </c>
      <c r="H68" s="48">
        <f t="shared" ref="H68:H69" si="8">$C$3+7*E68-1</f>
        <v>46369</v>
      </c>
      <c r="I68" s="49"/>
      <c r="J68" s="56"/>
      <c r="K68" s="47"/>
      <c r="L68" s="39"/>
      <c r="M68" s="39"/>
      <c r="N68" s="39"/>
      <c r="O68" s="41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45" t="s">
        <v>238</v>
      </c>
      <c r="AC68" s="47" t="s">
        <v>89</v>
      </c>
      <c r="AD68" s="52" t="s">
        <v>41</v>
      </c>
    </row>
    <row r="69" ht="15.75" customHeight="1">
      <c r="A69" s="43" t="s">
        <v>239</v>
      </c>
      <c r="B69" s="44" t="s">
        <v>240</v>
      </c>
      <c r="C69" s="45" t="s">
        <v>101</v>
      </c>
      <c r="D69" s="46">
        <v>16.0</v>
      </c>
      <c r="E69" s="46">
        <v>16.0</v>
      </c>
      <c r="F69" s="47">
        <f t="shared" si="6"/>
        <v>1</v>
      </c>
      <c r="G69" s="48">
        <f t="shared" si="7"/>
        <v>46398</v>
      </c>
      <c r="H69" s="48">
        <f t="shared" si="8"/>
        <v>46404</v>
      </c>
      <c r="I69" s="49"/>
      <c r="J69" s="56"/>
      <c r="K69" s="47"/>
      <c r="L69" s="39"/>
      <c r="M69" s="39"/>
      <c r="N69" s="39"/>
      <c r="O69" s="41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45" t="s">
        <v>241</v>
      </c>
      <c r="AC69" s="47" t="s">
        <v>89</v>
      </c>
      <c r="AD69" s="52" t="s">
        <v>41</v>
      </c>
    </row>
    <row r="70" ht="15.75" customHeight="1"/>
    <row r="71" ht="15.75" customHeight="1">
      <c r="B71" s="6"/>
      <c r="I71" s="57">
        <f>SUMIF($AD$8:$AD$69,"Task",$I$8:$I$69)</f>
        <v>1</v>
      </c>
    </row>
    <row r="72" ht="15.75" customHeight="1">
      <c r="B72" s="6"/>
      <c r="J72" s="57">
        <f>IFERROR(SUMPRODUCT(($AD$8:$AD$69="Task")*$I$8:$I$69*$J$8:$J$69)/I71,0)</f>
        <v>0.25</v>
      </c>
    </row>
    <row r="73" ht="15.75" customHeight="1"/>
    <row r="74" ht="15.75" customHeight="1">
      <c r="B74" s="1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H6:H7"/>
    <mergeCell ref="I6:I7"/>
    <mergeCell ref="J6:J7"/>
    <mergeCell ref="K6:K7"/>
    <mergeCell ref="AB6:AB7"/>
    <mergeCell ref="AC6:AC7"/>
    <mergeCell ref="AD6:AD7"/>
    <mergeCell ref="A6:A7"/>
    <mergeCell ref="B6:B7"/>
    <mergeCell ref="C6:C7"/>
    <mergeCell ref="D6:D7"/>
    <mergeCell ref="E6:E7"/>
    <mergeCell ref="F6:F7"/>
    <mergeCell ref="G6:G7"/>
  </mergeCells>
  <conditionalFormatting sqref="K8:K69">
    <cfRule type="expression" dxfId="0" priority="1">
      <formula>$K8="Terlambat"</formula>
    </cfRule>
  </conditionalFormatting>
  <conditionalFormatting sqref="K8:K69">
    <cfRule type="expression" dxfId="1" priority="2">
      <formula>$K8="Revisi"</formula>
    </cfRule>
  </conditionalFormatting>
  <conditionalFormatting sqref="K8:K69">
    <cfRule type="expression" dxfId="2" priority="3">
      <formula>$K8="✓"</formula>
    </cfRule>
  </conditionalFormatting>
  <conditionalFormatting sqref="L8:AA69">
    <cfRule type="expression" dxfId="3" priority="4">
      <formula>AND($AD8="Milestone",L$6&gt;=$D8,L$6&lt;=$E8)</formula>
    </cfRule>
  </conditionalFormatting>
  <conditionalFormatting sqref="L8:AA69">
    <cfRule type="expression" dxfId="4" priority="5">
      <formula>AND($AD8="Fase",L$6&gt;=$D8,L$6&lt;=$E8)</formula>
    </cfRule>
  </conditionalFormatting>
  <conditionalFormatting sqref="L8:AA69">
    <cfRule type="expression" dxfId="5" priority="6">
      <formula>AND($AD8="Task",L$6&gt;=$D8,L$6&lt;=$E8,L$6&lt;=$D8+ROUND($F8*$J8,0)-1)</formula>
    </cfRule>
  </conditionalFormatting>
  <conditionalFormatting sqref="L8:AA69">
    <cfRule type="expression" dxfId="6" priority="7">
      <formula>AND($AD8="Task",L$6&gt;=$D8,L$6&lt;=$E8)</formula>
    </cfRule>
  </conditionalFormatting>
  <conditionalFormatting sqref="L8:AA69">
    <cfRule type="expression" dxfId="7" priority="8">
      <formula>AND(TODAY()&gt;=L$7,TODAY()&lt;L$7+7)</formula>
    </cfRule>
  </conditionalFormatting>
  <conditionalFormatting sqref="N10">
    <cfRule type="notContainsBlanks" dxfId="8" priority="9">
      <formula>LEN(TRIM(N10))&gt;0</formula>
    </cfRule>
  </conditionalFormatting>
  <dataValidations>
    <dataValidation type="list" allowBlank="1" sqref="K10:K20 K22:K26 K28:K34 K36:K42 K44:K50 K52:K58 K60:K66">
      <formula1>"✓,Terlambat,Revisi,Belum"</formula1>
    </dataValidation>
    <dataValidation type="decimal" allowBlank="1" showInputMessage="1" showErrorMessage="1" prompt="Minggu tidak valid - Isi angka 1 sampai 16." sqref="D9:E20 D22:E26 D28:E34 D36:E42 D44:E50 D52:E58 D60:E66 D68:E69">
      <formula1>1.0</formula1>
      <formula2>16.0</formula2>
    </dataValidation>
    <dataValidation type="list" allowBlank="1" sqref="K9">
      <formula1>"Selesai,Terlambat,Revisi,Belum"</formula1>
    </dataValidation>
    <dataValidation type="decimal" allowBlank="1" showInputMessage="1" showErrorMessage="1" prompt="Progres tidak valid - Isi 0% sampai 100%." sqref="J9:J20 J22:J26 J28:J34 J36:J42 J44:J50 J52:J58 J60:J66">
      <formula1>0.0</formula1>
      <formula2>1.0</formula2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2.0"/>
    <col customWidth="1" min="4" max="4" width="18.0"/>
    <col customWidth="1" min="5" max="6" width="12.0"/>
  </cols>
  <sheetData>
    <row r="1" ht="15.75" customHeight="1">
      <c r="A1" s="1" t="s">
        <v>1</v>
      </c>
    </row>
    <row r="2" ht="14.25" customHeight="1"/>
    <row r="3" ht="15.0" customHeight="1">
      <c r="A3" s="7" t="s">
        <v>4</v>
      </c>
      <c r="B3" s="7" t="s">
        <v>9</v>
      </c>
      <c r="C3" s="7" t="s">
        <v>10</v>
      </c>
      <c r="D3" s="7" t="s">
        <v>12</v>
      </c>
      <c r="E3" s="7" t="s">
        <v>14</v>
      </c>
      <c r="F3" s="7" t="s">
        <v>16</v>
      </c>
    </row>
    <row r="4" ht="15.0" customHeight="1">
      <c r="A4" s="9">
        <v>2.0</v>
      </c>
      <c r="B4" s="11" t="s">
        <v>21</v>
      </c>
      <c r="C4" s="9" t="s">
        <v>26</v>
      </c>
      <c r="D4" s="13" t="s">
        <v>28</v>
      </c>
      <c r="E4" s="13" t="s">
        <v>31</v>
      </c>
      <c r="F4" s="15">
        <v>0.05</v>
      </c>
    </row>
    <row r="5" ht="15.0" customHeight="1">
      <c r="A5" s="9">
        <v>2.0</v>
      </c>
      <c r="B5" s="11" t="s">
        <v>34</v>
      </c>
      <c r="C5" s="9" t="s">
        <v>26</v>
      </c>
      <c r="D5" s="13" t="s">
        <v>35</v>
      </c>
      <c r="E5" s="13" t="s">
        <v>37</v>
      </c>
      <c r="F5" s="15">
        <v>0.05</v>
      </c>
    </row>
    <row r="6" ht="15.0" customHeight="1">
      <c r="A6" s="9">
        <v>4.0</v>
      </c>
      <c r="B6" s="11" t="s">
        <v>38</v>
      </c>
      <c r="C6" s="9" t="s">
        <v>26</v>
      </c>
      <c r="D6" s="13" t="s">
        <v>35</v>
      </c>
      <c r="E6" s="13" t="s">
        <v>39</v>
      </c>
      <c r="F6" s="15">
        <v>0.15</v>
      </c>
    </row>
    <row r="7" ht="15.0" customHeight="1">
      <c r="A7" s="9">
        <v>6.0</v>
      </c>
      <c r="B7" s="11" t="s">
        <v>40</v>
      </c>
      <c r="C7" s="9" t="s">
        <v>26</v>
      </c>
      <c r="D7" s="13" t="s">
        <v>35</v>
      </c>
      <c r="E7" s="13" t="s">
        <v>42</v>
      </c>
      <c r="F7" s="15">
        <v>0.15</v>
      </c>
    </row>
    <row r="8" ht="15.0" customHeight="1">
      <c r="A8" s="9">
        <v>6.0</v>
      </c>
      <c r="B8" s="11" t="s">
        <v>43</v>
      </c>
      <c r="C8" s="9" t="s">
        <v>44</v>
      </c>
      <c r="D8" s="13" t="s">
        <v>35</v>
      </c>
      <c r="E8" s="13" t="s">
        <v>42</v>
      </c>
      <c r="F8" s="15">
        <v>0.05</v>
      </c>
    </row>
    <row r="9" ht="15.0" customHeight="1">
      <c r="A9" s="9">
        <v>8.0</v>
      </c>
      <c r="B9" s="11" t="s">
        <v>46</v>
      </c>
      <c r="C9" s="9" t="s">
        <v>26</v>
      </c>
      <c r="D9" s="13" t="s">
        <v>35</v>
      </c>
      <c r="E9" s="13" t="s">
        <v>42</v>
      </c>
      <c r="F9" s="15">
        <v>0.15</v>
      </c>
    </row>
    <row r="10" ht="15.0" customHeight="1">
      <c r="A10" s="9">
        <v>8.0</v>
      </c>
      <c r="B10" s="11" t="s">
        <v>48</v>
      </c>
      <c r="C10" s="9" t="s">
        <v>44</v>
      </c>
      <c r="D10" s="13" t="s">
        <v>35</v>
      </c>
      <c r="E10" s="13" t="s">
        <v>42</v>
      </c>
      <c r="F10" s="15">
        <v>0.05</v>
      </c>
    </row>
    <row r="11" ht="15.0" customHeight="1">
      <c r="A11" s="9">
        <v>12.0</v>
      </c>
      <c r="B11" s="11" t="s">
        <v>50</v>
      </c>
      <c r="C11" s="9" t="s">
        <v>26</v>
      </c>
      <c r="D11" s="13" t="s">
        <v>52</v>
      </c>
      <c r="E11" s="13" t="s">
        <v>53</v>
      </c>
      <c r="F11" s="15">
        <v>0.15</v>
      </c>
    </row>
    <row r="12" ht="15.0" customHeight="1">
      <c r="A12" s="9">
        <v>13.0</v>
      </c>
      <c r="B12" s="11" t="s">
        <v>54</v>
      </c>
      <c r="C12" s="9" t="s">
        <v>26</v>
      </c>
      <c r="D12" s="13" t="s">
        <v>35</v>
      </c>
      <c r="E12" s="13" t="s">
        <v>39</v>
      </c>
      <c r="F12" s="15">
        <v>0.05</v>
      </c>
    </row>
    <row r="13" ht="15.0" customHeight="1">
      <c r="A13" s="9">
        <v>13.0</v>
      </c>
      <c r="B13" s="11" t="s">
        <v>55</v>
      </c>
      <c r="C13" s="9" t="s">
        <v>44</v>
      </c>
      <c r="D13" s="13" t="s">
        <v>35</v>
      </c>
      <c r="E13" s="13" t="s">
        <v>39</v>
      </c>
      <c r="F13" s="15">
        <v>0.05</v>
      </c>
    </row>
    <row r="14" ht="15.0" customHeight="1">
      <c r="A14" s="9">
        <v>14.0</v>
      </c>
      <c r="B14" s="11" t="s">
        <v>57</v>
      </c>
      <c r="C14" s="9" t="s">
        <v>26</v>
      </c>
      <c r="D14" s="13" t="s">
        <v>58</v>
      </c>
      <c r="E14" s="13" t="s">
        <v>59</v>
      </c>
      <c r="F14" s="15">
        <v>0.05</v>
      </c>
    </row>
    <row r="15" ht="15.0" customHeight="1">
      <c r="A15" s="9">
        <v>15.0</v>
      </c>
      <c r="B15" s="11" t="s">
        <v>61</v>
      </c>
      <c r="C15" s="9" t="s">
        <v>26</v>
      </c>
      <c r="D15" s="13" t="s">
        <v>58</v>
      </c>
      <c r="E15" s="13" t="s">
        <v>59</v>
      </c>
      <c r="F15" s="15">
        <v>0.05</v>
      </c>
    </row>
    <row r="16" ht="15.0" customHeight="1">
      <c r="A16" s="22"/>
      <c r="B16" s="23" t="s">
        <v>64</v>
      </c>
      <c r="C16" s="22"/>
      <c r="D16" s="22"/>
      <c r="E16" s="22"/>
      <c r="F16" s="26">
        <f>SUM(F4:F15)</f>
        <v>1</v>
      </c>
    </row>
    <row r="17" ht="14.25" customHeight="1"/>
    <row r="18" ht="15.0" customHeight="1">
      <c r="B18" s="7" t="s">
        <v>12</v>
      </c>
      <c r="C18" s="7" t="s">
        <v>73</v>
      </c>
      <c r="D18" s="7" t="s">
        <v>75</v>
      </c>
      <c r="E18" s="7" t="s">
        <v>76</v>
      </c>
    </row>
    <row r="19" ht="15.0" customHeight="1">
      <c r="B19" s="9" t="s">
        <v>77</v>
      </c>
      <c r="C19" s="15">
        <v>0.7</v>
      </c>
      <c r="D19" s="28">
        <f>SUMIF($D$4:$D$15,"03.3",$F$4:$F$15)</f>
        <v>0.7</v>
      </c>
      <c r="E19" s="28">
        <f t="shared" ref="E19:E22" si="1">D19-C19</f>
        <v>0</v>
      </c>
    </row>
    <row r="20" ht="15.0" customHeight="1">
      <c r="B20" s="9" t="s">
        <v>78</v>
      </c>
      <c r="C20" s="15">
        <v>0.15</v>
      </c>
      <c r="D20" s="28">
        <f>SUMIF($D$4:$D$15,"03.1",$F$4:$F$15)</f>
        <v>0.15</v>
      </c>
      <c r="E20" s="28">
        <f t="shared" si="1"/>
        <v>0</v>
      </c>
    </row>
    <row r="21" ht="15.75" customHeight="1">
      <c r="B21" s="9" t="s">
        <v>79</v>
      </c>
      <c r="C21" s="15">
        <v>0.1</v>
      </c>
      <c r="D21" s="28">
        <f>SUMIF($D$4:$D$15,"12.1",$F$4:$F$15)</f>
        <v>0.1</v>
      </c>
      <c r="E21" s="28">
        <f t="shared" si="1"/>
        <v>0</v>
      </c>
    </row>
    <row r="22" ht="15.75" customHeight="1">
      <c r="B22" s="9" t="s">
        <v>80</v>
      </c>
      <c r="C22" s="15">
        <v>0.05</v>
      </c>
      <c r="D22" s="28">
        <f>SUMIF($D$4:$D$15,"05.2",$F$4:$F$15)</f>
        <v>0.05</v>
      </c>
      <c r="E22" s="28">
        <f t="shared" si="1"/>
        <v>0</v>
      </c>
    </row>
    <row r="23" ht="15.75" customHeight="1"/>
    <row r="24" ht="15.75" customHeight="1">
      <c r="B24" s="6" t="s">
        <v>82</v>
      </c>
      <c r="F24" s="35" t="str">
        <f>IF(ROUND('Gantt Chart'!I71-F16,4)=0,"OK","Tidak sama")</f>
        <v>OK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0.0"/>
    <col customWidth="1" min="2" max="6" width="8.71"/>
  </cols>
  <sheetData>
    <row r="1" ht="15.75" customHeight="1">
      <c r="A1" s="1" t="s">
        <v>0</v>
      </c>
    </row>
    <row r="2" ht="14.25" customHeight="1"/>
    <row r="3" ht="15.0" customHeight="1">
      <c r="A3" s="3" t="s">
        <v>3</v>
      </c>
    </row>
    <row r="4" ht="15.0" customHeight="1">
      <c r="A4" s="5" t="s">
        <v>5</v>
      </c>
    </row>
    <row r="5" ht="23.25" customHeight="1">
      <c r="A5" s="5" t="s">
        <v>6</v>
      </c>
    </row>
    <row r="6" ht="15.0" customHeight="1">
      <c r="A6" s="5" t="s">
        <v>7</v>
      </c>
    </row>
    <row r="7" ht="15.0" customHeight="1">
      <c r="A7" s="5"/>
    </row>
    <row r="8" ht="15.0" customHeight="1">
      <c r="A8" s="3" t="s">
        <v>8</v>
      </c>
    </row>
    <row r="9" ht="23.25" customHeight="1">
      <c r="A9" s="5" t="s">
        <v>11</v>
      </c>
    </row>
    <row r="10" ht="23.25" customHeight="1">
      <c r="A10" s="5" t="s">
        <v>13</v>
      </c>
    </row>
    <row r="11" ht="23.25" customHeight="1">
      <c r="A11" s="5" t="s">
        <v>15</v>
      </c>
    </row>
    <row r="12" ht="15.0" customHeight="1">
      <c r="A12" s="5" t="s">
        <v>17</v>
      </c>
    </row>
    <row r="13" ht="15.0" customHeight="1">
      <c r="A13" s="5" t="s">
        <v>18</v>
      </c>
    </row>
    <row r="14" ht="15.0" customHeight="1">
      <c r="A14" s="5"/>
    </row>
    <row r="15" ht="15.0" customHeight="1">
      <c r="A15" s="3" t="s">
        <v>19</v>
      </c>
    </row>
    <row r="16" ht="15.0" customHeight="1">
      <c r="A16" s="5" t="s">
        <v>20</v>
      </c>
    </row>
    <row r="17" ht="15.0" customHeight="1">
      <c r="A17" s="5" t="s">
        <v>22</v>
      </c>
    </row>
    <row r="18" ht="15.0" customHeight="1">
      <c r="A18" s="5" t="s">
        <v>23</v>
      </c>
    </row>
    <row r="19" ht="15.0" customHeight="1">
      <c r="A19" s="5" t="s">
        <v>25</v>
      </c>
    </row>
    <row r="20" ht="14.25" customHeight="1"/>
    <row r="21" ht="15.75" customHeight="1">
      <c r="A21" s="3" t="s">
        <v>27</v>
      </c>
    </row>
    <row r="22" ht="15.75" customHeight="1">
      <c r="A22" s="5" t="s">
        <v>29</v>
      </c>
    </row>
    <row r="23" ht="15.75" customHeight="1">
      <c r="A23" s="5" t="s">
        <v>30</v>
      </c>
    </row>
    <row r="24" ht="15.75" customHeight="1">
      <c r="A24" s="5" t="s">
        <v>32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